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rehova\Downloads\"/>
    </mc:Choice>
  </mc:AlternateContent>
  <xr:revisionPtr revIDLastSave="0" documentId="11_3201879DFEB3CABFAB6233EF7CC540F05C3499DD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Orders" sheetId="1" r:id="rId1"/>
    <sheet name="Order Details" sheetId="2" r:id="rId2"/>
    <sheet name="Products" sheetId="3" r:id="rId3"/>
    <sheet name="Customers" sheetId="4" r:id="rId4"/>
    <sheet name="Categories" sheetId="5" r:id="rId5"/>
    <sheet name="Dat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94" i="2" l="1"/>
  <c r="H394" i="2"/>
  <c r="E394" i="2"/>
  <c r="G394" i="2" s="1"/>
  <c r="I394" i="2" s="1"/>
  <c r="L393" i="2"/>
  <c r="H393" i="2"/>
  <c r="E393" i="2"/>
  <c r="G393" i="2" s="1"/>
  <c r="I393" i="2" s="1"/>
  <c r="J393" i="2" s="1"/>
  <c r="K393" i="2" s="1"/>
  <c r="L392" i="2"/>
  <c r="H392" i="2"/>
  <c r="E392" i="2"/>
  <c r="G392" i="2" s="1"/>
  <c r="I392" i="2" s="1"/>
  <c r="L391" i="2"/>
  <c r="H391" i="2"/>
  <c r="E391" i="2"/>
  <c r="G391" i="2" s="1"/>
  <c r="I391" i="2" s="1"/>
  <c r="L390" i="2"/>
  <c r="H390" i="2"/>
  <c r="E390" i="2"/>
  <c r="G390" i="2" s="1"/>
  <c r="I390" i="2" s="1"/>
  <c r="J390" i="2" s="1"/>
  <c r="K390" i="2" s="1"/>
  <c r="L389" i="2"/>
  <c r="H389" i="2"/>
  <c r="E389" i="2"/>
  <c r="G389" i="2" s="1"/>
  <c r="I389" i="2" s="1"/>
  <c r="L388" i="2"/>
  <c r="H388" i="2"/>
  <c r="E388" i="2"/>
  <c r="G388" i="2" s="1"/>
  <c r="I388" i="2" s="1"/>
  <c r="L387" i="2"/>
  <c r="H387" i="2"/>
  <c r="E387" i="2"/>
  <c r="G387" i="2" s="1"/>
  <c r="I387" i="2" s="1"/>
  <c r="J387" i="2" s="1"/>
  <c r="K387" i="2" s="1"/>
  <c r="L386" i="2"/>
  <c r="H386" i="2"/>
  <c r="E386" i="2"/>
  <c r="G386" i="2" s="1"/>
  <c r="I386" i="2" s="1"/>
  <c r="J386" i="2" s="1"/>
  <c r="K386" i="2" s="1"/>
  <c r="L385" i="2"/>
  <c r="H385" i="2"/>
  <c r="E385" i="2"/>
  <c r="G385" i="2" s="1"/>
  <c r="I385" i="2" s="1"/>
  <c r="L384" i="2"/>
  <c r="H384" i="2"/>
  <c r="E384" i="2"/>
  <c r="G384" i="2" s="1"/>
  <c r="I384" i="2" s="1"/>
  <c r="J384" i="2" s="1"/>
  <c r="K384" i="2" s="1"/>
  <c r="L383" i="2"/>
  <c r="H383" i="2"/>
  <c r="E383" i="2"/>
  <c r="G383" i="2" s="1"/>
  <c r="I383" i="2" s="1"/>
  <c r="L382" i="2"/>
  <c r="H382" i="2"/>
  <c r="E382" i="2"/>
  <c r="G382" i="2" s="1"/>
  <c r="I382" i="2" s="1"/>
  <c r="L381" i="2"/>
  <c r="H381" i="2"/>
  <c r="E381" i="2"/>
  <c r="G381" i="2" s="1"/>
  <c r="I381" i="2" s="1"/>
  <c r="L380" i="2"/>
  <c r="H380" i="2"/>
  <c r="E380" i="2"/>
  <c r="G380" i="2" s="1"/>
  <c r="I380" i="2" s="1"/>
  <c r="J380" i="2" s="1"/>
  <c r="K380" i="2" s="1"/>
  <c r="L379" i="2"/>
  <c r="H379" i="2"/>
  <c r="E379" i="2"/>
  <c r="G379" i="2" s="1"/>
  <c r="I379" i="2" s="1"/>
  <c r="J379" i="2" s="1"/>
  <c r="K379" i="2" s="1"/>
  <c r="L378" i="2"/>
  <c r="H378" i="2"/>
  <c r="E378" i="2"/>
  <c r="G378" i="2" s="1"/>
  <c r="I378" i="2" s="1"/>
  <c r="L377" i="2"/>
  <c r="H377" i="2"/>
  <c r="E377" i="2"/>
  <c r="G377" i="2" s="1"/>
  <c r="I377" i="2" s="1"/>
  <c r="L376" i="2"/>
  <c r="H376" i="2"/>
  <c r="E376" i="2"/>
  <c r="G376" i="2" s="1"/>
  <c r="I376" i="2" s="1"/>
  <c r="J376" i="2" s="1"/>
  <c r="K376" i="2" s="1"/>
  <c r="L375" i="2"/>
  <c r="H375" i="2"/>
  <c r="E375" i="2"/>
  <c r="G375" i="2" s="1"/>
  <c r="I375" i="2" s="1"/>
  <c r="L374" i="2"/>
  <c r="H374" i="2"/>
  <c r="E374" i="2"/>
  <c r="G374" i="2" s="1"/>
  <c r="I374" i="2" s="1"/>
  <c r="J374" i="2" s="1"/>
  <c r="K374" i="2" s="1"/>
  <c r="L373" i="2"/>
  <c r="H373" i="2"/>
  <c r="E373" i="2"/>
  <c r="G373" i="2" s="1"/>
  <c r="I373" i="2" s="1"/>
  <c r="L372" i="2"/>
  <c r="H372" i="2"/>
  <c r="E372" i="2"/>
  <c r="G372" i="2" s="1"/>
  <c r="I372" i="2" s="1"/>
  <c r="J372" i="2" s="1"/>
  <c r="K372" i="2" s="1"/>
  <c r="L371" i="2"/>
  <c r="H371" i="2"/>
  <c r="E371" i="2"/>
  <c r="G371" i="2" s="1"/>
  <c r="I371" i="2" s="1"/>
  <c r="L370" i="2"/>
  <c r="H370" i="2"/>
  <c r="E370" i="2"/>
  <c r="G370" i="2" s="1"/>
  <c r="I370" i="2" s="1"/>
  <c r="J370" i="2" s="1"/>
  <c r="K370" i="2" s="1"/>
  <c r="L369" i="2"/>
  <c r="H369" i="2"/>
  <c r="E369" i="2"/>
  <c r="G369" i="2" s="1"/>
  <c r="I369" i="2" s="1"/>
  <c r="L368" i="2"/>
  <c r="H368" i="2"/>
  <c r="E368" i="2"/>
  <c r="G368" i="2" s="1"/>
  <c r="I368" i="2" s="1"/>
  <c r="J368" i="2" s="1"/>
  <c r="K368" i="2" s="1"/>
  <c r="L367" i="2"/>
  <c r="H367" i="2"/>
  <c r="E367" i="2"/>
  <c r="G367" i="2" s="1"/>
  <c r="I367" i="2" s="1"/>
  <c r="J367" i="2" s="1"/>
  <c r="K367" i="2" s="1"/>
  <c r="L366" i="2"/>
  <c r="H366" i="2"/>
  <c r="E366" i="2"/>
  <c r="G366" i="2" s="1"/>
  <c r="I366" i="2" s="1"/>
  <c r="L365" i="2"/>
  <c r="H365" i="2"/>
  <c r="E365" i="2"/>
  <c r="G365" i="2" s="1"/>
  <c r="I365" i="2" s="1"/>
  <c r="L364" i="2"/>
  <c r="H364" i="2"/>
  <c r="E364" i="2"/>
  <c r="G364" i="2" s="1"/>
  <c r="I364" i="2" s="1"/>
  <c r="L363" i="2"/>
  <c r="H363" i="2"/>
  <c r="E363" i="2"/>
  <c r="G363" i="2" s="1"/>
  <c r="I363" i="2" s="1"/>
  <c r="J363" i="2" s="1"/>
  <c r="K363" i="2" s="1"/>
  <c r="L362" i="2"/>
  <c r="H362" i="2"/>
  <c r="E362" i="2"/>
  <c r="G362" i="2" s="1"/>
  <c r="I362" i="2" s="1"/>
  <c r="L361" i="2"/>
  <c r="H361" i="2"/>
  <c r="E361" i="2"/>
  <c r="G361" i="2" s="1"/>
  <c r="I361" i="2" s="1"/>
  <c r="J361" i="2" s="1"/>
  <c r="K361" i="2" s="1"/>
  <c r="L360" i="2"/>
  <c r="H360" i="2"/>
  <c r="E360" i="2"/>
  <c r="G360" i="2" s="1"/>
  <c r="I360" i="2" s="1"/>
  <c r="J360" i="2" s="1"/>
  <c r="K360" i="2" s="1"/>
  <c r="L359" i="2"/>
  <c r="H359" i="2"/>
  <c r="E359" i="2"/>
  <c r="G359" i="2" s="1"/>
  <c r="I359" i="2" s="1"/>
  <c r="J359" i="2" s="1"/>
  <c r="K359" i="2" s="1"/>
  <c r="L358" i="2"/>
  <c r="H358" i="2"/>
  <c r="E358" i="2"/>
  <c r="G358" i="2" s="1"/>
  <c r="I358" i="2" s="1"/>
  <c r="L357" i="2"/>
  <c r="H357" i="2"/>
  <c r="E357" i="2"/>
  <c r="G357" i="2" s="1"/>
  <c r="I357" i="2" s="1"/>
  <c r="L356" i="2"/>
  <c r="H356" i="2"/>
  <c r="E356" i="2"/>
  <c r="G356" i="2" s="1"/>
  <c r="I356" i="2" s="1"/>
  <c r="J356" i="2" s="1"/>
  <c r="K356" i="2" s="1"/>
  <c r="L355" i="2"/>
  <c r="H355" i="2"/>
  <c r="E355" i="2"/>
  <c r="G355" i="2" s="1"/>
  <c r="I355" i="2" s="1"/>
  <c r="L354" i="2"/>
  <c r="H354" i="2"/>
  <c r="E354" i="2"/>
  <c r="G354" i="2" s="1"/>
  <c r="I354" i="2" s="1"/>
  <c r="J354" i="2" s="1"/>
  <c r="K354" i="2" s="1"/>
  <c r="L353" i="2"/>
  <c r="H353" i="2"/>
  <c r="E353" i="2"/>
  <c r="G353" i="2" s="1"/>
  <c r="I353" i="2" s="1"/>
  <c r="L352" i="2"/>
  <c r="H352" i="2"/>
  <c r="E352" i="2"/>
  <c r="G352" i="2" s="1"/>
  <c r="I352" i="2" s="1"/>
  <c r="J352" i="2" s="1"/>
  <c r="K352" i="2" s="1"/>
  <c r="L351" i="2"/>
  <c r="H351" i="2"/>
  <c r="E351" i="2"/>
  <c r="G351" i="2" s="1"/>
  <c r="I351" i="2" s="1"/>
  <c r="L350" i="2"/>
  <c r="H350" i="2"/>
  <c r="E350" i="2"/>
  <c r="G350" i="2" s="1"/>
  <c r="I350" i="2" s="1"/>
  <c r="J350" i="2" s="1"/>
  <c r="K350" i="2" s="1"/>
  <c r="L349" i="2"/>
  <c r="H349" i="2"/>
  <c r="E349" i="2"/>
  <c r="G349" i="2" s="1"/>
  <c r="I349" i="2" s="1"/>
  <c r="J349" i="2" s="1"/>
  <c r="K349" i="2" s="1"/>
  <c r="L348" i="2"/>
  <c r="H348" i="2"/>
  <c r="E348" i="2"/>
  <c r="G348" i="2" s="1"/>
  <c r="I348" i="2" s="1"/>
  <c r="J348" i="2" s="1"/>
  <c r="K348" i="2" s="1"/>
  <c r="L347" i="2"/>
  <c r="H347" i="2"/>
  <c r="E347" i="2"/>
  <c r="G347" i="2" s="1"/>
  <c r="I347" i="2" s="1"/>
  <c r="L346" i="2"/>
  <c r="H346" i="2"/>
  <c r="E346" i="2"/>
  <c r="G346" i="2" s="1"/>
  <c r="I346" i="2" s="1"/>
  <c r="J346" i="2" s="1"/>
  <c r="K346" i="2" s="1"/>
  <c r="L345" i="2"/>
  <c r="H345" i="2"/>
  <c r="E345" i="2"/>
  <c r="G345" i="2" s="1"/>
  <c r="I345" i="2" s="1"/>
  <c r="L344" i="2"/>
  <c r="H344" i="2"/>
  <c r="E344" i="2"/>
  <c r="G344" i="2" s="1"/>
  <c r="I344" i="2" s="1"/>
  <c r="J344" i="2" s="1"/>
  <c r="K344" i="2" s="1"/>
  <c r="L343" i="2"/>
  <c r="H343" i="2"/>
  <c r="E343" i="2"/>
  <c r="G343" i="2" s="1"/>
  <c r="I343" i="2" s="1"/>
  <c r="L342" i="2"/>
  <c r="H342" i="2"/>
  <c r="E342" i="2"/>
  <c r="G342" i="2" s="1"/>
  <c r="I342" i="2" s="1"/>
  <c r="J342" i="2" s="1"/>
  <c r="K342" i="2" s="1"/>
  <c r="L341" i="2"/>
  <c r="H341" i="2"/>
  <c r="E341" i="2"/>
  <c r="G341" i="2" s="1"/>
  <c r="I341" i="2" s="1"/>
  <c r="L340" i="2"/>
  <c r="H340" i="2"/>
  <c r="E340" i="2"/>
  <c r="G340" i="2" s="1"/>
  <c r="I340" i="2" s="1"/>
  <c r="L339" i="2"/>
  <c r="H339" i="2"/>
  <c r="E339" i="2"/>
  <c r="G339" i="2" s="1"/>
  <c r="I339" i="2" s="1"/>
  <c r="J339" i="2" s="1"/>
  <c r="K339" i="2" s="1"/>
  <c r="L338" i="2"/>
  <c r="H338" i="2"/>
  <c r="E338" i="2"/>
  <c r="G338" i="2" s="1"/>
  <c r="I338" i="2" s="1"/>
  <c r="J338" i="2" s="1"/>
  <c r="K338" i="2" s="1"/>
  <c r="L337" i="2"/>
  <c r="H337" i="2"/>
  <c r="E337" i="2"/>
  <c r="G337" i="2" s="1"/>
  <c r="I337" i="2" s="1"/>
  <c r="L336" i="2"/>
  <c r="H336" i="2"/>
  <c r="E336" i="2"/>
  <c r="G336" i="2" s="1"/>
  <c r="I336" i="2" s="1"/>
  <c r="J336" i="2" s="1"/>
  <c r="K336" i="2" s="1"/>
  <c r="L335" i="2"/>
  <c r="H335" i="2"/>
  <c r="E335" i="2"/>
  <c r="G335" i="2" s="1"/>
  <c r="I335" i="2" s="1"/>
  <c r="L334" i="2"/>
  <c r="H334" i="2"/>
  <c r="E334" i="2"/>
  <c r="G334" i="2" s="1"/>
  <c r="I334" i="2" s="1"/>
  <c r="J334" i="2" s="1"/>
  <c r="K334" i="2" s="1"/>
  <c r="L333" i="2"/>
  <c r="H333" i="2"/>
  <c r="E333" i="2"/>
  <c r="G333" i="2" s="1"/>
  <c r="I333" i="2" s="1"/>
  <c r="J333" i="2" s="1"/>
  <c r="K333" i="2" s="1"/>
  <c r="L332" i="2"/>
  <c r="H332" i="2"/>
  <c r="E332" i="2"/>
  <c r="G332" i="2" s="1"/>
  <c r="I332" i="2" s="1"/>
  <c r="L331" i="2"/>
  <c r="H331" i="2"/>
  <c r="E331" i="2"/>
  <c r="G331" i="2" s="1"/>
  <c r="I331" i="2" s="1"/>
  <c r="J331" i="2" s="1"/>
  <c r="K331" i="2" s="1"/>
  <c r="L330" i="2"/>
  <c r="H330" i="2"/>
  <c r="E330" i="2"/>
  <c r="G330" i="2" s="1"/>
  <c r="I330" i="2" s="1"/>
  <c r="L329" i="2"/>
  <c r="H329" i="2"/>
  <c r="E329" i="2"/>
  <c r="G329" i="2" s="1"/>
  <c r="I329" i="2" s="1"/>
  <c r="L328" i="2"/>
  <c r="H328" i="2"/>
  <c r="E328" i="2"/>
  <c r="G328" i="2" s="1"/>
  <c r="I328" i="2" s="1"/>
  <c r="L327" i="2"/>
  <c r="H327" i="2"/>
  <c r="E327" i="2"/>
  <c r="G327" i="2" s="1"/>
  <c r="I327" i="2" s="1"/>
  <c r="J327" i="2" s="1"/>
  <c r="K327" i="2" s="1"/>
  <c r="L326" i="2"/>
  <c r="H326" i="2"/>
  <c r="E326" i="2"/>
  <c r="G326" i="2" s="1"/>
  <c r="I326" i="2" s="1"/>
  <c r="J326" i="2" s="1"/>
  <c r="K326" i="2" s="1"/>
  <c r="L325" i="2"/>
  <c r="H325" i="2"/>
  <c r="E325" i="2"/>
  <c r="G325" i="2" s="1"/>
  <c r="I325" i="2" s="1"/>
  <c r="L324" i="2"/>
  <c r="H324" i="2"/>
  <c r="E324" i="2"/>
  <c r="G324" i="2" s="1"/>
  <c r="I324" i="2" s="1"/>
  <c r="L323" i="2"/>
  <c r="H323" i="2"/>
  <c r="E323" i="2"/>
  <c r="G323" i="2" s="1"/>
  <c r="I323" i="2" s="1"/>
  <c r="J323" i="2" s="1"/>
  <c r="K323" i="2" s="1"/>
  <c r="L322" i="2"/>
  <c r="H322" i="2"/>
  <c r="E322" i="2"/>
  <c r="G322" i="2" s="1"/>
  <c r="I322" i="2" s="1"/>
  <c r="J322" i="2" s="1"/>
  <c r="K322" i="2" s="1"/>
  <c r="L321" i="2"/>
  <c r="H321" i="2"/>
  <c r="E321" i="2"/>
  <c r="G321" i="2" s="1"/>
  <c r="I321" i="2" s="1"/>
  <c r="L320" i="2"/>
  <c r="H320" i="2"/>
  <c r="E320" i="2"/>
  <c r="G320" i="2" s="1"/>
  <c r="I320" i="2" s="1"/>
  <c r="L319" i="2"/>
  <c r="H319" i="2"/>
  <c r="E319" i="2"/>
  <c r="G319" i="2" s="1"/>
  <c r="I319" i="2" s="1"/>
  <c r="J319" i="2" s="1"/>
  <c r="K319" i="2" s="1"/>
  <c r="L318" i="2"/>
  <c r="H318" i="2"/>
  <c r="E318" i="2"/>
  <c r="G318" i="2" s="1"/>
  <c r="I318" i="2" s="1"/>
  <c r="L317" i="2"/>
  <c r="H317" i="2"/>
  <c r="E317" i="2"/>
  <c r="G317" i="2" s="1"/>
  <c r="I317" i="2" s="1"/>
  <c r="L316" i="2"/>
  <c r="H316" i="2"/>
  <c r="E316" i="2"/>
  <c r="G316" i="2" s="1"/>
  <c r="I316" i="2" s="1"/>
  <c r="J316" i="2" s="1"/>
  <c r="K316" i="2" s="1"/>
  <c r="L315" i="2"/>
  <c r="H315" i="2"/>
  <c r="E315" i="2"/>
  <c r="G315" i="2" s="1"/>
  <c r="I315" i="2" s="1"/>
  <c r="J315" i="2" s="1"/>
  <c r="K315" i="2" s="1"/>
  <c r="L314" i="2"/>
  <c r="H314" i="2"/>
  <c r="E314" i="2"/>
  <c r="G314" i="2" s="1"/>
  <c r="I314" i="2" s="1"/>
  <c r="L313" i="2"/>
  <c r="H313" i="2"/>
  <c r="E313" i="2"/>
  <c r="G313" i="2" s="1"/>
  <c r="I313" i="2" s="1"/>
  <c r="L312" i="2"/>
  <c r="H312" i="2"/>
  <c r="E312" i="2"/>
  <c r="G312" i="2" s="1"/>
  <c r="I312" i="2" s="1"/>
  <c r="J312" i="2" s="1"/>
  <c r="K312" i="2" s="1"/>
  <c r="L311" i="2"/>
  <c r="H311" i="2"/>
  <c r="E311" i="2"/>
  <c r="G311" i="2" s="1"/>
  <c r="I311" i="2" s="1"/>
  <c r="J311" i="2" s="1"/>
  <c r="K311" i="2" s="1"/>
  <c r="L310" i="2"/>
  <c r="H310" i="2"/>
  <c r="E310" i="2"/>
  <c r="G310" i="2" s="1"/>
  <c r="I310" i="2" s="1"/>
  <c r="L309" i="2"/>
  <c r="H309" i="2"/>
  <c r="E309" i="2"/>
  <c r="G309" i="2" s="1"/>
  <c r="I309" i="2" s="1"/>
  <c r="J309" i="2" s="1"/>
  <c r="K309" i="2" s="1"/>
  <c r="L308" i="2"/>
  <c r="H308" i="2"/>
  <c r="E308" i="2"/>
  <c r="G308" i="2" s="1"/>
  <c r="I308" i="2" s="1"/>
  <c r="L307" i="2"/>
  <c r="H307" i="2"/>
  <c r="E307" i="2"/>
  <c r="G307" i="2" s="1"/>
  <c r="I307" i="2" s="1"/>
  <c r="L306" i="2"/>
  <c r="H306" i="2"/>
  <c r="E306" i="2"/>
  <c r="G306" i="2" s="1"/>
  <c r="I306" i="2" s="1"/>
  <c r="J306" i="2" s="1"/>
  <c r="K306" i="2" s="1"/>
  <c r="L305" i="2"/>
  <c r="H305" i="2"/>
  <c r="E305" i="2"/>
  <c r="G305" i="2" s="1"/>
  <c r="I305" i="2" s="1"/>
  <c r="J305" i="2" s="1"/>
  <c r="K305" i="2" s="1"/>
  <c r="L304" i="2"/>
  <c r="H304" i="2"/>
  <c r="E304" i="2"/>
  <c r="G304" i="2" s="1"/>
  <c r="I304" i="2" s="1"/>
  <c r="L303" i="2"/>
  <c r="H303" i="2"/>
  <c r="E303" i="2"/>
  <c r="G303" i="2" s="1"/>
  <c r="I303" i="2" s="1"/>
  <c r="L302" i="2"/>
  <c r="H302" i="2"/>
  <c r="E302" i="2"/>
  <c r="G302" i="2" s="1"/>
  <c r="I302" i="2" s="1"/>
  <c r="J302" i="2" s="1"/>
  <c r="K302" i="2" s="1"/>
  <c r="L301" i="2"/>
  <c r="H301" i="2"/>
  <c r="E301" i="2"/>
  <c r="G301" i="2" s="1"/>
  <c r="I301" i="2" s="1"/>
  <c r="L300" i="2"/>
  <c r="H300" i="2"/>
  <c r="E300" i="2"/>
  <c r="G300" i="2" s="1"/>
  <c r="I300" i="2" s="1"/>
  <c r="L299" i="2"/>
  <c r="H299" i="2"/>
  <c r="E299" i="2"/>
  <c r="G299" i="2" s="1"/>
  <c r="I299" i="2" s="1"/>
  <c r="L298" i="2"/>
  <c r="H298" i="2"/>
  <c r="E298" i="2"/>
  <c r="G298" i="2" s="1"/>
  <c r="I298" i="2" s="1"/>
  <c r="L297" i="2"/>
  <c r="H297" i="2"/>
  <c r="E297" i="2"/>
  <c r="G297" i="2" s="1"/>
  <c r="I297" i="2" s="1"/>
  <c r="J297" i="2" s="1"/>
  <c r="K297" i="2" s="1"/>
  <c r="L296" i="2"/>
  <c r="H296" i="2"/>
  <c r="E296" i="2"/>
  <c r="G296" i="2" s="1"/>
  <c r="I296" i="2" s="1"/>
  <c r="J296" i="2" s="1"/>
  <c r="K296" i="2" s="1"/>
  <c r="L295" i="2"/>
  <c r="H295" i="2"/>
  <c r="E295" i="2"/>
  <c r="G295" i="2" s="1"/>
  <c r="I295" i="2" s="1"/>
  <c r="L294" i="2"/>
  <c r="H294" i="2"/>
  <c r="E294" i="2"/>
  <c r="G294" i="2" s="1"/>
  <c r="I294" i="2" s="1"/>
  <c r="J294" i="2" s="1"/>
  <c r="K294" i="2" s="1"/>
  <c r="L293" i="2"/>
  <c r="H293" i="2"/>
  <c r="E293" i="2"/>
  <c r="G293" i="2" s="1"/>
  <c r="I293" i="2" s="1"/>
  <c r="J293" i="2" s="1"/>
  <c r="K293" i="2" s="1"/>
  <c r="L292" i="2"/>
  <c r="H292" i="2"/>
  <c r="E292" i="2"/>
  <c r="G292" i="2" s="1"/>
  <c r="I292" i="2" s="1"/>
  <c r="L291" i="2"/>
  <c r="H291" i="2"/>
  <c r="E291" i="2"/>
  <c r="G291" i="2" s="1"/>
  <c r="I291" i="2" s="1"/>
  <c r="J291" i="2" s="1"/>
  <c r="K291" i="2" s="1"/>
  <c r="L290" i="2"/>
  <c r="H290" i="2"/>
  <c r="E290" i="2"/>
  <c r="G290" i="2" s="1"/>
  <c r="I290" i="2" s="1"/>
  <c r="J290" i="2" s="1"/>
  <c r="K290" i="2" s="1"/>
  <c r="L289" i="2"/>
  <c r="H289" i="2"/>
  <c r="E289" i="2"/>
  <c r="G289" i="2" s="1"/>
  <c r="I289" i="2" s="1"/>
  <c r="L288" i="2"/>
  <c r="H288" i="2"/>
  <c r="E288" i="2"/>
  <c r="G288" i="2" s="1"/>
  <c r="I288" i="2" s="1"/>
  <c r="L287" i="2"/>
  <c r="H287" i="2"/>
  <c r="E287" i="2"/>
  <c r="G287" i="2" s="1"/>
  <c r="I287" i="2" s="1"/>
  <c r="J287" i="2" s="1"/>
  <c r="K287" i="2" s="1"/>
  <c r="L286" i="2"/>
  <c r="H286" i="2"/>
  <c r="E286" i="2"/>
  <c r="G286" i="2" s="1"/>
  <c r="I286" i="2" s="1"/>
  <c r="L285" i="2"/>
  <c r="H285" i="2"/>
  <c r="E285" i="2"/>
  <c r="G285" i="2" s="1"/>
  <c r="I285" i="2" s="1"/>
  <c r="J285" i="2" s="1"/>
  <c r="K285" i="2" s="1"/>
  <c r="L284" i="2"/>
  <c r="H284" i="2"/>
  <c r="E284" i="2"/>
  <c r="G284" i="2" s="1"/>
  <c r="I284" i="2" s="1"/>
  <c r="J284" i="2" s="1"/>
  <c r="K284" i="2" s="1"/>
  <c r="L283" i="2"/>
  <c r="H283" i="2"/>
  <c r="E283" i="2"/>
  <c r="G283" i="2" s="1"/>
  <c r="I283" i="2" s="1"/>
  <c r="L282" i="2"/>
  <c r="H282" i="2"/>
  <c r="E282" i="2"/>
  <c r="G282" i="2" s="1"/>
  <c r="I282" i="2" s="1"/>
  <c r="L281" i="2"/>
  <c r="H281" i="2"/>
  <c r="E281" i="2"/>
  <c r="G281" i="2" s="1"/>
  <c r="I281" i="2" s="1"/>
  <c r="J281" i="2" s="1"/>
  <c r="K281" i="2" s="1"/>
  <c r="L280" i="2"/>
  <c r="H280" i="2"/>
  <c r="E280" i="2"/>
  <c r="G280" i="2" s="1"/>
  <c r="I280" i="2" s="1"/>
  <c r="L279" i="2"/>
  <c r="H279" i="2"/>
  <c r="E279" i="2"/>
  <c r="G279" i="2" s="1"/>
  <c r="I279" i="2" s="1"/>
  <c r="J279" i="2" s="1"/>
  <c r="K279" i="2" s="1"/>
  <c r="L278" i="2"/>
  <c r="H278" i="2"/>
  <c r="E278" i="2"/>
  <c r="G278" i="2" s="1"/>
  <c r="I278" i="2" s="1"/>
  <c r="L277" i="2"/>
  <c r="H277" i="2"/>
  <c r="E277" i="2"/>
  <c r="G277" i="2" s="1"/>
  <c r="I277" i="2" s="1"/>
  <c r="L276" i="2"/>
  <c r="H276" i="2"/>
  <c r="E276" i="2"/>
  <c r="G276" i="2" s="1"/>
  <c r="I276" i="2" s="1"/>
  <c r="L275" i="2"/>
  <c r="H275" i="2"/>
  <c r="E275" i="2"/>
  <c r="G275" i="2" s="1"/>
  <c r="I275" i="2" s="1"/>
  <c r="L274" i="2"/>
  <c r="H274" i="2"/>
  <c r="E274" i="2"/>
  <c r="G274" i="2" s="1"/>
  <c r="I274" i="2" s="1"/>
  <c r="J274" i="2" s="1"/>
  <c r="K274" i="2" s="1"/>
  <c r="L273" i="2"/>
  <c r="H273" i="2"/>
  <c r="E273" i="2"/>
  <c r="G273" i="2" s="1"/>
  <c r="I273" i="2" s="1"/>
  <c r="J273" i="2" s="1"/>
  <c r="K273" i="2" s="1"/>
  <c r="L272" i="2"/>
  <c r="H272" i="2"/>
  <c r="E272" i="2"/>
  <c r="G272" i="2" s="1"/>
  <c r="I272" i="2" s="1"/>
  <c r="L271" i="2"/>
  <c r="H271" i="2"/>
  <c r="E271" i="2"/>
  <c r="G271" i="2" s="1"/>
  <c r="I271" i="2" s="1"/>
  <c r="J271" i="2" s="1"/>
  <c r="K271" i="2" s="1"/>
  <c r="L270" i="2"/>
  <c r="H270" i="2"/>
  <c r="E270" i="2"/>
  <c r="G270" i="2" s="1"/>
  <c r="I270" i="2" s="1"/>
  <c r="J270" i="2" s="1"/>
  <c r="K270" i="2" s="1"/>
  <c r="L269" i="2"/>
  <c r="H269" i="2"/>
  <c r="E269" i="2"/>
  <c r="G269" i="2" s="1"/>
  <c r="I269" i="2" s="1"/>
  <c r="L268" i="2"/>
  <c r="H268" i="2"/>
  <c r="E268" i="2"/>
  <c r="G268" i="2" s="1"/>
  <c r="I268" i="2" s="1"/>
  <c r="J268" i="2" s="1"/>
  <c r="K268" i="2" s="1"/>
  <c r="L267" i="2"/>
  <c r="H267" i="2"/>
  <c r="E267" i="2"/>
  <c r="G267" i="2" s="1"/>
  <c r="I267" i="2" s="1"/>
  <c r="J267" i="2" s="1"/>
  <c r="K267" i="2" s="1"/>
  <c r="L266" i="2"/>
  <c r="H266" i="2"/>
  <c r="E266" i="2"/>
  <c r="G266" i="2" s="1"/>
  <c r="I266" i="2" s="1"/>
  <c r="L265" i="2"/>
  <c r="H265" i="2"/>
  <c r="E265" i="2"/>
  <c r="G265" i="2" s="1"/>
  <c r="I265" i="2" s="1"/>
  <c r="J265" i="2" s="1"/>
  <c r="K265" i="2" s="1"/>
  <c r="L264" i="2"/>
  <c r="H264" i="2"/>
  <c r="E264" i="2"/>
  <c r="G264" i="2" s="1"/>
  <c r="I264" i="2" s="1"/>
  <c r="L263" i="2"/>
  <c r="H263" i="2"/>
  <c r="E263" i="2"/>
  <c r="G263" i="2" s="1"/>
  <c r="I263" i="2" s="1"/>
  <c r="L262" i="2"/>
  <c r="H262" i="2"/>
  <c r="E262" i="2"/>
  <c r="G262" i="2" s="1"/>
  <c r="I262" i="2" s="1"/>
  <c r="J262" i="2" s="1"/>
  <c r="K262" i="2" s="1"/>
  <c r="L261" i="2"/>
  <c r="H261" i="2"/>
  <c r="E261" i="2"/>
  <c r="G261" i="2" s="1"/>
  <c r="I261" i="2" s="1"/>
  <c r="J261" i="2" s="1"/>
  <c r="K261" i="2" s="1"/>
  <c r="L260" i="2"/>
  <c r="H260" i="2"/>
  <c r="E260" i="2"/>
  <c r="G260" i="2" s="1"/>
  <c r="I260" i="2" s="1"/>
  <c r="J260" i="2" s="1"/>
  <c r="K260" i="2" s="1"/>
  <c r="L259" i="2"/>
  <c r="H259" i="2"/>
  <c r="E259" i="2"/>
  <c r="G259" i="2" s="1"/>
  <c r="I259" i="2" s="1"/>
  <c r="L258" i="2"/>
  <c r="H258" i="2"/>
  <c r="E258" i="2"/>
  <c r="G258" i="2" s="1"/>
  <c r="I258" i="2" s="1"/>
  <c r="L257" i="2"/>
  <c r="H257" i="2"/>
  <c r="E257" i="2"/>
  <c r="G257" i="2" s="1"/>
  <c r="I257" i="2" s="1"/>
  <c r="J257" i="2" s="1"/>
  <c r="K257" i="2" s="1"/>
  <c r="L256" i="2"/>
  <c r="H256" i="2"/>
  <c r="E256" i="2"/>
  <c r="G256" i="2" s="1"/>
  <c r="I256" i="2" s="1"/>
  <c r="J256" i="2" s="1"/>
  <c r="K256" i="2" s="1"/>
  <c r="L255" i="2"/>
  <c r="H255" i="2"/>
  <c r="E255" i="2"/>
  <c r="G255" i="2" s="1"/>
  <c r="I255" i="2" s="1"/>
  <c r="L254" i="2"/>
  <c r="H254" i="2"/>
  <c r="E254" i="2"/>
  <c r="G254" i="2" s="1"/>
  <c r="I254" i="2" s="1"/>
  <c r="J254" i="2" s="1"/>
  <c r="K254" i="2" s="1"/>
  <c r="L253" i="2"/>
  <c r="H253" i="2"/>
  <c r="E253" i="2"/>
  <c r="G253" i="2" s="1"/>
  <c r="I253" i="2" s="1"/>
  <c r="L252" i="2"/>
  <c r="H252" i="2"/>
  <c r="E252" i="2"/>
  <c r="G252" i="2" s="1"/>
  <c r="I252" i="2" s="1"/>
  <c r="J252" i="2" s="1"/>
  <c r="K252" i="2" s="1"/>
  <c r="L251" i="2"/>
  <c r="H251" i="2"/>
  <c r="E251" i="2"/>
  <c r="G251" i="2" s="1"/>
  <c r="I251" i="2" s="1"/>
  <c r="L250" i="2"/>
  <c r="H250" i="2"/>
  <c r="E250" i="2"/>
  <c r="G250" i="2" s="1"/>
  <c r="I250" i="2" s="1"/>
  <c r="J250" i="2" s="1"/>
  <c r="K250" i="2" s="1"/>
  <c r="L249" i="2"/>
  <c r="H249" i="2"/>
  <c r="E249" i="2"/>
  <c r="G249" i="2" s="1"/>
  <c r="I249" i="2" s="1"/>
  <c r="L248" i="2"/>
  <c r="H248" i="2"/>
  <c r="E248" i="2"/>
  <c r="G248" i="2" s="1"/>
  <c r="I248" i="2" s="1"/>
  <c r="J248" i="2" s="1"/>
  <c r="K248" i="2" s="1"/>
  <c r="L247" i="2"/>
  <c r="H247" i="2"/>
  <c r="E247" i="2"/>
  <c r="G247" i="2" s="1"/>
  <c r="I247" i="2" s="1"/>
  <c r="J247" i="2" s="1"/>
  <c r="K247" i="2" s="1"/>
  <c r="L246" i="2"/>
  <c r="H246" i="2"/>
  <c r="E246" i="2"/>
  <c r="G246" i="2" s="1"/>
  <c r="I246" i="2" s="1"/>
  <c r="L245" i="2"/>
  <c r="H245" i="2"/>
  <c r="E245" i="2"/>
  <c r="G245" i="2" s="1"/>
  <c r="I245" i="2" s="1"/>
  <c r="J245" i="2" s="1"/>
  <c r="K245" i="2" s="1"/>
  <c r="L244" i="2"/>
  <c r="H244" i="2"/>
  <c r="E244" i="2"/>
  <c r="G244" i="2" s="1"/>
  <c r="I244" i="2" s="1"/>
  <c r="L243" i="2"/>
  <c r="H243" i="2"/>
  <c r="E243" i="2"/>
  <c r="G243" i="2" s="1"/>
  <c r="I243" i="2" s="1"/>
  <c r="J243" i="2" s="1"/>
  <c r="K243" i="2" s="1"/>
  <c r="L242" i="2"/>
  <c r="H242" i="2"/>
  <c r="E242" i="2"/>
  <c r="G242" i="2" s="1"/>
  <c r="I242" i="2" s="1"/>
  <c r="J242" i="2" s="1"/>
  <c r="K242" i="2" s="1"/>
  <c r="L241" i="2"/>
  <c r="H241" i="2"/>
  <c r="E241" i="2"/>
  <c r="G241" i="2" s="1"/>
  <c r="I241" i="2" s="1"/>
  <c r="L240" i="2"/>
  <c r="H240" i="2"/>
  <c r="E240" i="2"/>
  <c r="G240" i="2" s="1"/>
  <c r="I240" i="2" s="1"/>
  <c r="J240" i="2" s="1"/>
  <c r="K240" i="2" s="1"/>
  <c r="L239" i="2"/>
  <c r="H239" i="2"/>
  <c r="E239" i="2"/>
  <c r="G239" i="2" s="1"/>
  <c r="I239" i="2" s="1"/>
  <c r="L238" i="2"/>
  <c r="H238" i="2"/>
  <c r="E238" i="2"/>
  <c r="G238" i="2" s="1"/>
  <c r="I238" i="2" s="1"/>
  <c r="J238" i="2" s="1"/>
  <c r="K238" i="2" s="1"/>
  <c r="L237" i="2"/>
  <c r="H237" i="2"/>
  <c r="E237" i="2"/>
  <c r="G237" i="2" s="1"/>
  <c r="I237" i="2" s="1"/>
  <c r="J237" i="2" s="1"/>
  <c r="K237" i="2" s="1"/>
  <c r="L236" i="2"/>
  <c r="H236" i="2"/>
  <c r="E236" i="2"/>
  <c r="G236" i="2" s="1"/>
  <c r="I236" i="2" s="1"/>
  <c r="L235" i="2"/>
  <c r="H235" i="2"/>
  <c r="E235" i="2"/>
  <c r="G235" i="2" s="1"/>
  <c r="I235" i="2" s="1"/>
  <c r="J235" i="2" s="1"/>
  <c r="K235" i="2" s="1"/>
  <c r="L234" i="2"/>
  <c r="H234" i="2"/>
  <c r="E234" i="2"/>
  <c r="G234" i="2" s="1"/>
  <c r="I234" i="2" s="1"/>
  <c r="L233" i="2"/>
  <c r="H233" i="2"/>
  <c r="E233" i="2"/>
  <c r="G233" i="2" s="1"/>
  <c r="I233" i="2" s="1"/>
  <c r="J233" i="2" s="1"/>
  <c r="K233" i="2" s="1"/>
  <c r="L232" i="2"/>
  <c r="H232" i="2"/>
  <c r="E232" i="2"/>
  <c r="G232" i="2" s="1"/>
  <c r="I232" i="2" s="1"/>
  <c r="L231" i="2"/>
  <c r="H231" i="2"/>
  <c r="E231" i="2"/>
  <c r="G231" i="2" s="1"/>
  <c r="I231" i="2" s="1"/>
  <c r="L230" i="2"/>
  <c r="H230" i="2"/>
  <c r="E230" i="2"/>
  <c r="G230" i="2" s="1"/>
  <c r="I230" i="2" s="1"/>
  <c r="J230" i="2" s="1"/>
  <c r="K230" i="2" s="1"/>
  <c r="L229" i="2"/>
  <c r="H229" i="2"/>
  <c r="E229" i="2"/>
  <c r="G229" i="2" s="1"/>
  <c r="I229" i="2" s="1"/>
  <c r="L228" i="2"/>
  <c r="H228" i="2"/>
  <c r="E228" i="2"/>
  <c r="G228" i="2" s="1"/>
  <c r="I228" i="2" s="1"/>
  <c r="J228" i="2" s="1"/>
  <c r="K228" i="2" s="1"/>
  <c r="L227" i="2"/>
  <c r="H227" i="2"/>
  <c r="E227" i="2"/>
  <c r="G227" i="2" s="1"/>
  <c r="I227" i="2" s="1"/>
  <c r="L226" i="2"/>
  <c r="H226" i="2"/>
  <c r="E226" i="2"/>
  <c r="G226" i="2" s="1"/>
  <c r="I226" i="2" s="1"/>
  <c r="J226" i="2" s="1"/>
  <c r="K226" i="2" s="1"/>
  <c r="L225" i="2"/>
  <c r="H225" i="2"/>
  <c r="E225" i="2"/>
  <c r="G225" i="2" s="1"/>
  <c r="I225" i="2" s="1"/>
  <c r="L224" i="2"/>
  <c r="H224" i="2"/>
  <c r="E224" i="2"/>
  <c r="G224" i="2" s="1"/>
  <c r="I224" i="2" s="1"/>
  <c r="J224" i="2" s="1"/>
  <c r="K224" i="2" s="1"/>
  <c r="L223" i="2"/>
  <c r="H223" i="2"/>
  <c r="E223" i="2"/>
  <c r="G223" i="2" s="1"/>
  <c r="I223" i="2" s="1"/>
  <c r="L222" i="2"/>
  <c r="H222" i="2"/>
  <c r="E222" i="2"/>
  <c r="G222" i="2" s="1"/>
  <c r="I222" i="2" s="1"/>
  <c r="J222" i="2" s="1"/>
  <c r="K222" i="2" s="1"/>
  <c r="L221" i="2"/>
  <c r="H221" i="2"/>
  <c r="E221" i="2"/>
  <c r="G221" i="2" s="1"/>
  <c r="I221" i="2" s="1"/>
  <c r="J221" i="2" s="1"/>
  <c r="K221" i="2" s="1"/>
  <c r="L220" i="2"/>
  <c r="H220" i="2"/>
  <c r="E220" i="2"/>
  <c r="G220" i="2" s="1"/>
  <c r="I220" i="2" s="1"/>
  <c r="L219" i="2"/>
  <c r="H219" i="2"/>
  <c r="E219" i="2"/>
  <c r="G219" i="2" s="1"/>
  <c r="I219" i="2" s="1"/>
  <c r="J219" i="2" s="1"/>
  <c r="K219" i="2" s="1"/>
  <c r="L218" i="2"/>
  <c r="H218" i="2"/>
  <c r="E218" i="2"/>
  <c r="G218" i="2" s="1"/>
  <c r="I218" i="2" s="1"/>
  <c r="L217" i="2"/>
  <c r="H217" i="2"/>
  <c r="E217" i="2"/>
  <c r="G217" i="2" s="1"/>
  <c r="I217" i="2" s="1"/>
  <c r="J217" i="2" s="1"/>
  <c r="K217" i="2" s="1"/>
  <c r="L216" i="2"/>
  <c r="H216" i="2"/>
  <c r="E216" i="2"/>
  <c r="G216" i="2" s="1"/>
  <c r="I216" i="2" s="1"/>
  <c r="J216" i="2" s="1"/>
  <c r="K216" i="2" s="1"/>
  <c r="L215" i="2"/>
  <c r="H215" i="2"/>
  <c r="E215" i="2"/>
  <c r="G215" i="2" s="1"/>
  <c r="I215" i="2" s="1"/>
  <c r="L214" i="2"/>
  <c r="H214" i="2"/>
  <c r="E214" i="2"/>
  <c r="G214" i="2" s="1"/>
  <c r="I214" i="2" s="1"/>
  <c r="L213" i="2"/>
  <c r="H213" i="2"/>
  <c r="E213" i="2"/>
  <c r="G213" i="2" s="1"/>
  <c r="I213" i="2" s="1"/>
  <c r="J213" i="2" s="1"/>
  <c r="K213" i="2" s="1"/>
  <c r="L212" i="2"/>
  <c r="H212" i="2"/>
  <c r="E212" i="2"/>
  <c r="G212" i="2" s="1"/>
  <c r="I212" i="2" s="1"/>
  <c r="L211" i="2"/>
  <c r="H211" i="2"/>
  <c r="E211" i="2"/>
  <c r="G211" i="2" s="1"/>
  <c r="I211" i="2" s="1"/>
  <c r="J211" i="2" s="1"/>
  <c r="K211" i="2" s="1"/>
  <c r="L210" i="2"/>
  <c r="H210" i="2"/>
  <c r="E210" i="2"/>
  <c r="G210" i="2" s="1"/>
  <c r="I210" i="2" s="1"/>
  <c r="J210" i="2" s="1"/>
  <c r="K210" i="2" s="1"/>
  <c r="L209" i="2"/>
  <c r="H209" i="2"/>
  <c r="E209" i="2"/>
  <c r="G209" i="2" s="1"/>
  <c r="I209" i="2" s="1"/>
  <c r="L208" i="2"/>
  <c r="H208" i="2"/>
  <c r="E208" i="2"/>
  <c r="G208" i="2" s="1"/>
  <c r="I208" i="2" s="1"/>
  <c r="J208" i="2" s="1"/>
  <c r="K208" i="2" s="1"/>
  <c r="L207" i="2"/>
  <c r="H207" i="2"/>
  <c r="E207" i="2"/>
  <c r="G207" i="2" s="1"/>
  <c r="I207" i="2" s="1"/>
  <c r="J207" i="2" s="1"/>
  <c r="K207" i="2" s="1"/>
  <c r="L206" i="2"/>
  <c r="H206" i="2"/>
  <c r="E206" i="2"/>
  <c r="G206" i="2" s="1"/>
  <c r="I206" i="2" s="1"/>
  <c r="L205" i="2"/>
  <c r="H205" i="2"/>
  <c r="E205" i="2"/>
  <c r="G205" i="2" s="1"/>
  <c r="I205" i="2" s="1"/>
  <c r="L204" i="2"/>
  <c r="H204" i="2"/>
  <c r="E204" i="2"/>
  <c r="G204" i="2" s="1"/>
  <c r="I204" i="2" s="1"/>
  <c r="J204" i="2" s="1"/>
  <c r="K204" i="2" s="1"/>
  <c r="L203" i="2"/>
  <c r="H203" i="2"/>
  <c r="E203" i="2"/>
  <c r="G203" i="2" s="1"/>
  <c r="I203" i="2" s="1"/>
  <c r="L202" i="2"/>
  <c r="H202" i="2"/>
  <c r="E202" i="2"/>
  <c r="G202" i="2" s="1"/>
  <c r="I202" i="2" s="1"/>
  <c r="L201" i="2"/>
  <c r="H201" i="2"/>
  <c r="E201" i="2"/>
  <c r="G201" i="2" s="1"/>
  <c r="I201" i="2" s="1"/>
  <c r="J201" i="2" s="1"/>
  <c r="K201" i="2" s="1"/>
  <c r="L200" i="2"/>
  <c r="H200" i="2"/>
  <c r="E200" i="2"/>
  <c r="G200" i="2" s="1"/>
  <c r="I200" i="2" s="1"/>
  <c r="L199" i="2"/>
  <c r="H199" i="2"/>
  <c r="E199" i="2"/>
  <c r="G199" i="2" s="1"/>
  <c r="I199" i="2" s="1"/>
  <c r="L198" i="2"/>
  <c r="H198" i="2"/>
  <c r="E198" i="2"/>
  <c r="G198" i="2" s="1"/>
  <c r="I198" i="2" s="1"/>
  <c r="J198" i="2" s="1"/>
  <c r="K198" i="2" s="1"/>
  <c r="L197" i="2"/>
  <c r="H197" i="2"/>
  <c r="E197" i="2"/>
  <c r="G197" i="2" s="1"/>
  <c r="I197" i="2" s="1"/>
  <c r="J197" i="2" s="1"/>
  <c r="K197" i="2" s="1"/>
  <c r="L196" i="2"/>
  <c r="H196" i="2"/>
  <c r="E196" i="2"/>
  <c r="G196" i="2" s="1"/>
  <c r="I196" i="2" s="1"/>
  <c r="L195" i="2"/>
  <c r="H195" i="2"/>
  <c r="E195" i="2"/>
  <c r="G195" i="2" s="1"/>
  <c r="I195" i="2" s="1"/>
  <c r="L194" i="2"/>
  <c r="H194" i="2"/>
  <c r="E194" i="2"/>
  <c r="G194" i="2" s="1"/>
  <c r="I194" i="2" s="1"/>
  <c r="J194" i="2" s="1"/>
  <c r="K194" i="2" s="1"/>
  <c r="L193" i="2"/>
  <c r="H193" i="2"/>
  <c r="E193" i="2"/>
  <c r="G193" i="2" s="1"/>
  <c r="I193" i="2" s="1"/>
  <c r="J193" i="2" s="1"/>
  <c r="K193" i="2" s="1"/>
  <c r="L192" i="2"/>
  <c r="H192" i="2"/>
  <c r="E192" i="2"/>
  <c r="G192" i="2" s="1"/>
  <c r="I192" i="2" s="1"/>
  <c r="L191" i="2"/>
  <c r="H191" i="2"/>
  <c r="E191" i="2"/>
  <c r="G191" i="2" s="1"/>
  <c r="I191" i="2" s="1"/>
  <c r="J191" i="2" s="1"/>
  <c r="K191" i="2" s="1"/>
  <c r="L190" i="2"/>
  <c r="H190" i="2"/>
  <c r="E190" i="2"/>
  <c r="G190" i="2" s="1"/>
  <c r="I190" i="2" s="1"/>
  <c r="J190" i="2" s="1"/>
  <c r="K190" i="2" s="1"/>
  <c r="L189" i="2"/>
  <c r="H189" i="2"/>
  <c r="E189" i="2"/>
  <c r="G189" i="2" s="1"/>
  <c r="I189" i="2" s="1"/>
  <c r="L188" i="2"/>
  <c r="H188" i="2"/>
  <c r="E188" i="2"/>
  <c r="G188" i="2" s="1"/>
  <c r="I188" i="2" s="1"/>
  <c r="L187" i="2"/>
  <c r="H187" i="2"/>
  <c r="E187" i="2"/>
  <c r="G187" i="2" s="1"/>
  <c r="I187" i="2" s="1"/>
  <c r="L186" i="2"/>
  <c r="H186" i="2"/>
  <c r="E186" i="2"/>
  <c r="G186" i="2" s="1"/>
  <c r="I186" i="2" s="1"/>
  <c r="L185" i="2"/>
  <c r="H185" i="2"/>
  <c r="E185" i="2"/>
  <c r="G185" i="2" s="1"/>
  <c r="I185" i="2" s="1"/>
  <c r="J185" i="2" s="1"/>
  <c r="K185" i="2" s="1"/>
  <c r="L184" i="2"/>
  <c r="H184" i="2"/>
  <c r="E184" i="2"/>
  <c r="G184" i="2" s="1"/>
  <c r="I184" i="2" s="1"/>
  <c r="L183" i="2"/>
  <c r="H183" i="2"/>
  <c r="E183" i="2"/>
  <c r="G183" i="2" s="1"/>
  <c r="I183" i="2" s="1"/>
  <c r="J183" i="2" s="1"/>
  <c r="K183" i="2" s="1"/>
  <c r="L182" i="2"/>
  <c r="H182" i="2"/>
  <c r="E182" i="2"/>
  <c r="G182" i="2" s="1"/>
  <c r="I182" i="2" s="1"/>
  <c r="J182" i="2" s="1"/>
  <c r="K182" i="2" s="1"/>
  <c r="L181" i="2"/>
  <c r="H181" i="2"/>
  <c r="E181" i="2"/>
  <c r="G181" i="2" s="1"/>
  <c r="I181" i="2" s="1"/>
  <c r="J181" i="2" s="1"/>
  <c r="K181" i="2" s="1"/>
  <c r="L180" i="2"/>
  <c r="H180" i="2"/>
  <c r="E180" i="2"/>
  <c r="G180" i="2" s="1"/>
  <c r="I180" i="2" s="1"/>
  <c r="L179" i="2"/>
  <c r="H179" i="2"/>
  <c r="E179" i="2"/>
  <c r="G179" i="2" s="1"/>
  <c r="I179" i="2" s="1"/>
  <c r="J179" i="2" s="1"/>
  <c r="K179" i="2" s="1"/>
  <c r="L178" i="2"/>
  <c r="H178" i="2"/>
  <c r="E178" i="2"/>
  <c r="G178" i="2" s="1"/>
  <c r="I178" i="2" s="1"/>
  <c r="L177" i="2"/>
  <c r="H177" i="2"/>
  <c r="E177" i="2"/>
  <c r="G177" i="2" s="1"/>
  <c r="I177" i="2" s="1"/>
  <c r="J177" i="2" s="1"/>
  <c r="K177" i="2" s="1"/>
  <c r="L176" i="2"/>
  <c r="H176" i="2"/>
  <c r="E176" i="2"/>
  <c r="G176" i="2" s="1"/>
  <c r="I176" i="2" s="1"/>
  <c r="L175" i="2"/>
  <c r="H175" i="2"/>
  <c r="E175" i="2"/>
  <c r="G175" i="2" s="1"/>
  <c r="I175" i="2" s="1"/>
  <c r="J175" i="2" s="1"/>
  <c r="K175" i="2" s="1"/>
  <c r="L174" i="2"/>
  <c r="H174" i="2"/>
  <c r="E174" i="2"/>
  <c r="G174" i="2" s="1"/>
  <c r="I174" i="2" s="1"/>
  <c r="J174" i="2" s="1"/>
  <c r="K174" i="2" s="1"/>
  <c r="L173" i="2"/>
  <c r="H173" i="2"/>
  <c r="E173" i="2"/>
  <c r="G173" i="2" s="1"/>
  <c r="I173" i="2" s="1"/>
  <c r="J173" i="2" s="1"/>
  <c r="K173" i="2" s="1"/>
  <c r="L172" i="2"/>
  <c r="H172" i="2"/>
  <c r="E172" i="2"/>
  <c r="G172" i="2" s="1"/>
  <c r="I172" i="2" s="1"/>
  <c r="L171" i="2"/>
  <c r="H171" i="2"/>
  <c r="E171" i="2"/>
  <c r="G171" i="2" s="1"/>
  <c r="I171" i="2" s="1"/>
  <c r="L170" i="2"/>
  <c r="H170" i="2"/>
  <c r="E170" i="2"/>
  <c r="G170" i="2" s="1"/>
  <c r="I170" i="2" s="1"/>
  <c r="L169" i="2"/>
  <c r="H169" i="2"/>
  <c r="E169" i="2"/>
  <c r="G169" i="2" s="1"/>
  <c r="I169" i="2" s="1"/>
  <c r="J169" i="2" s="1"/>
  <c r="K169" i="2" s="1"/>
  <c r="L168" i="2"/>
  <c r="H168" i="2"/>
  <c r="E168" i="2"/>
  <c r="G168" i="2" s="1"/>
  <c r="I168" i="2" s="1"/>
  <c r="L167" i="2"/>
  <c r="H167" i="2"/>
  <c r="E167" i="2"/>
  <c r="G167" i="2" s="1"/>
  <c r="I167" i="2" s="1"/>
  <c r="J167" i="2" s="1"/>
  <c r="K167" i="2" s="1"/>
  <c r="L166" i="2"/>
  <c r="H166" i="2"/>
  <c r="E166" i="2"/>
  <c r="G166" i="2" s="1"/>
  <c r="I166" i="2" s="1"/>
  <c r="L165" i="2"/>
  <c r="H165" i="2"/>
  <c r="E165" i="2"/>
  <c r="G165" i="2" s="1"/>
  <c r="I165" i="2" s="1"/>
  <c r="J165" i="2" s="1"/>
  <c r="K165" i="2" s="1"/>
  <c r="L164" i="2"/>
  <c r="H164" i="2"/>
  <c r="E164" i="2"/>
  <c r="G164" i="2" s="1"/>
  <c r="I164" i="2" s="1"/>
  <c r="J164" i="2" s="1"/>
  <c r="K164" i="2" s="1"/>
  <c r="L163" i="2"/>
  <c r="H163" i="2"/>
  <c r="E163" i="2"/>
  <c r="G163" i="2" s="1"/>
  <c r="I163" i="2" s="1"/>
  <c r="L162" i="2"/>
  <c r="H162" i="2"/>
  <c r="E162" i="2"/>
  <c r="G162" i="2" s="1"/>
  <c r="I162" i="2" s="1"/>
  <c r="J162" i="2" s="1"/>
  <c r="K162" i="2" s="1"/>
  <c r="L161" i="2"/>
  <c r="H161" i="2"/>
  <c r="E161" i="2"/>
  <c r="G161" i="2" s="1"/>
  <c r="I161" i="2" s="1"/>
  <c r="L160" i="2"/>
  <c r="H160" i="2"/>
  <c r="E160" i="2"/>
  <c r="G160" i="2" s="1"/>
  <c r="I160" i="2" s="1"/>
  <c r="L159" i="2"/>
  <c r="H159" i="2"/>
  <c r="E159" i="2"/>
  <c r="G159" i="2" s="1"/>
  <c r="I159" i="2" s="1"/>
  <c r="L158" i="2"/>
  <c r="H158" i="2"/>
  <c r="E158" i="2"/>
  <c r="G158" i="2" s="1"/>
  <c r="I158" i="2" s="1"/>
  <c r="J158" i="2" s="1"/>
  <c r="K158" i="2" s="1"/>
  <c r="L157" i="2"/>
  <c r="H157" i="2"/>
  <c r="E157" i="2"/>
  <c r="G157" i="2" s="1"/>
  <c r="I157" i="2" s="1"/>
  <c r="J157" i="2" s="1"/>
  <c r="K157" i="2" s="1"/>
  <c r="L156" i="2"/>
  <c r="H156" i="2"/>
  <c r="E156" i="2"/>
  <c r="G156" i="2" s="1"/>
  <c r="I156" i="2" s="1"/>
  <c r="J156" i="2" s="1"/>
  <c r="K156" i="2" s="1"/>
  <c r="L155" i="2"/>
  <c r="H155" i="2"/>
  <c r="E155" i="2"/>
  <c r="G155" i="2" s="1"/>
  <c r="I155" i="2" s="1"/>
  <c r="L154" i="2"/>
  <c r="H154" i="2"/>
  <c r="E154" i="2"/>
  <c r="G154" i="2" s="1"/>
  <c r="I154" i="2" s="1"/>
  <c r="J154" i="2" s="1"/>
  <c r="K154" i="2" s="1"/>
  <c r="L153" i="2"/>
  <c r="H153" i="2"/>
  <c r="E153" i="2"/>
  <c r="G153" i="2" s="1"/>
  <c r="I153" i="2" s="1"/>
  <c r="L152" i="2"/>
  <c r="H152" i="2"/>
  <c r="E152" i="2"/>
  <c r="G152" i="2" s="1"/>
  <c r="I152" i="2" s="1"/>
  <c r="J152" i="2" s="1"/>
  <c r="K152" i="2" s="1"/>
  <c r="L151" i="2"/>
  <c r="H151" i="2"/>
  <c r="E151" i="2"/>
  <c r="G151" i="2" s="1"/>
  <c r="I151" i="2" s="1"/>
  <c r="L150" i="2"/>
  <c r="H150" i="2"/>
  <c r="E150" i="2"/>
  <c r="G150" i="2" s="1"/>
  <c r="I150" i="2" s="1"/>
  <c r="J150" i="2" s="1"/>
  <c r="K150" i="2" s="1"/>
  <c r="L149" i="2"/>
  <c r="H149" i="2"/>
  <c r="E149" i="2"/>
  <c r="G149" i="2" s="1"/>
  <c r="I149" i="2" s="1"/>
  <c r="J149" i="2" s="1"/>
  <c r="K149" i="2" s="1"/>
  <c r="L148" i="2"/>
  <c r="H148" i="2"/>
  <c r="E148" i="2"/>
  <c r="G148" i="2" s="1"/>
  <c r="I148" i="2" s="1"/>
  <c r="L147" i="2"/>
  <c r="H147" i="2"/>
  <c r="E147" i="2"/>
  <c r="G147" i="2" s="1"/>
  <c r="I147" i="2" s="1"/>
  <c r="L146" i="2"/>
  <c r="H146" i="2"/>
  <c r="E146" i="2"/>
  <c r="G146" i="2" s="1"/>
  <c r="I146" i="2" s="1"/>
  <c r="J146" i="2" s="1"/>
  <c r="K146" i="2" s="1"/>
  <c r="L145" i="2"/>
  <c r="H145" i="2"/>
  <c r="E145" i="2"/>
  <c r="G145" i="2" s="1"/>
  <c r="I145" i="2" s="1"/>
  <c r="L144" i="2"/>
  <c r="H144" i="2"/>
  <c r="E144" i="2"/>
  <c r="G144" i="2" s="1"/>
  <c r="I144" i="2" s="1"/>
  <c r="L143" i="2"/>
  <c r="H143" i="2"/>
  <c r="E143" i="2"/>
  <c r="G143" i="2" s="1"/>
  <c r="I143" i="2" s="1"/>
  <c r="J143" i="2" s="1"/>
  <c r="K143" i="2" s="1"/>
  <c r="L142" i="2"/>
  <c r="H142" i="2"/>
  <c r="E142" i="2"/>
  <c r="G142" i="2" s="1"/>
  <c r="I142" i="2" s="1"/>
  <c r="L141" i="2"/>
  <c r="H141" i="2"/>
  <c r="G141" i="2"/>
  <c r="I141" i="2" s="1"/>
  <c r="E141" i="2"/>
  <c r="L140" i="2"/>
  <c r="H140" i="2"/>
  <c r="E140" i="2"/>
  <c r="G140" i="2" s="1"/>
  <c r="I140" i="2" s="1"/>
  <c r="J140" i="2" s="1"/>
  <c r="K140" i="2" s="1"/>
  <c r="L139" i="2"/>
  <c r="H139" i="2"/>
  <c r="E139" i="2"/>
  <c r="G139" i="2" s="1"/>
  <c r="I139" i="2" s="1"/>
  <c r="J139" i="2" s="1"/>
  <c r="K139" i="2" s="1"/>
  <c r="L138" i="2"/>
  <c r="H138" i="2"/>
  <c r="E138" i="2"/>
  <c r="G138" i="2" s="1"/>
  <c r="I138" i="2" s="1"/>
  <c r="L137" i="2"/>
  <c r="H137" i="2"/>
  <c r="E137" i="2"/>
  <c r="G137" i="2" s="1"/>
  <c r="I137" i="2" s="1"/>
  <c r="L136" i="2"/>
  <c r="H136" i="2"/>
  <c r="E136" i="2"/>
  <c r="G136" i="2" s="1"/>
  <c r="I136" i="2" s="1"/>
  <c r="L135" i="2"/>
  <c r="H135" i="2"/>
  <c r="E135" i="2"/>
  <c r="G135" i="2" s="1"/>
  <c r="I135" i="2" s="1"/>
  <c r="L134" i="2"/>
  <c r="H134" i="2"/>
  <c r="E134" i="2"/>
  <c r="G134" i="2" s="1"/>
  <c r="I134" i="2" s="1"/>
  <c r="L133" i="2"/>
  <c r="H133" i="2"/>
  <c r="E133" i="2"/>
  <c r="G133" i="2" s="1"/>
  <c r="I133" i="2" s="1"/>
  <c r="L132" i="2"/>
  <c r="H132" i="2"/>
  <c r="E132" i="2"/>
  <c r="G132" i="2" s="1"/>
  <c r="I132" i="2" s="1"/>
  <c r="J132" i="2" s="1"/>
  <c r="K132" i="2" s="1"/>
  <c r="L131" i="2"/>
  <c r="H131" i="2"/>
  <c r="E131" i="2"/>
  <c r="G131" i="2" s="1"/>
  <c r="I131" i="2" s="1"/>
  <c r="L130" i="2"/>
  <c r="H130" i="2"/>
  <c r="E130" i="2"/>
  <c r="G130" i="2" s="1"/>
  <c r="I130" i="2" s="1"/>
  <c r="J130" i="2" s="1"/>
  <c r="K130" i="2" s="1"/>
  <c r="L129" i="2"/>
  <c r="H129" i="2"/>
  <c r="E129" i="2"/>
  <c r="G129" i="2" s="1"/>
  <c r="I129" i="2" s="1"/>
  <c r="J129" i="2" s="1"/>
  <c r="K129" i="2" s="1"/>
  <c r="L128" i="2"/>
  <c r="H128" i="2"/>
  <c r="E128" i="2"/>
  <c r="G128" i="2" s="1"/>
  <c r="I128" i="2" s="1"/>
  <c r="L127" i="2"/>
  <c r="H127" i="2"/>
  <c r="E127" i="2"/>
  <c r="G127" i="2" s="1"/>
  <c r="I127" i="2" s="1"/>
  <c r="L126" i="2"/>
  <c r="H126" i="2"/>
  <c r="E126" i="2"/>
  <c r="G126" i="2" s="1"/>
  <c r="I126" i="2" s="1"/>
  <c r="L125" i="2"/>
  <c r="H125" i="2"/>
  <c r="E125" i="2"/>
  <c r="G125" i="2" s="1"/>
  <c r="I125" i="2" s="1"/>
  <c r="J125" i="2" s="1"/>
  <c r="K125" i="2" s="1"/>
  <c r="L124" i="2"/>
  <c r="H124" i="2"/>
  <c r="E124" i="2"/>
  <c r="G124" i="2" s="1"/>
  <c r="I124" i="2" s="1"/>
  <c r="J124" i="2" s="1"/>
  <c r="K124" i="2" s="1"/>
  <c r="L123" i="2"/>
  <c r="H123" i="2"/>
  <c r="E123" i="2"/>
  <c r="G123" i="2" s="1"/>
  <c r="I123" i="2" s="1"/>
  <c r="L122" i="2"/>
  <c r="H122" i="2"/>
  <c r="E122" i="2"/>
  <c r="G122" i="2" s="1"/>
  <c r="I122" i="2" s="1"/>
  <c r="L121" i="2"/>
  <c r="H121" i="2"/>
  <c r="E121" i="2"/>
  <c r="G121" i="2" s="1"/>
  <c r="I121" i="2" s="1"/>
  <c r="L120" i="2"/>
  <c r="H120" i="2"/>
  <c r="E120" i="2"/>
  <c r="G120" i="2" s="1"/>
  <c r="I120" i="2" s="1"/>
  <c r="L119" i="2"/>
  <c r="H119" i="2"/>
  <c r="E119" i="2"/>
  <c r="G119" i="2" s="1"/>
  <c r="I119" i="2" s="1"/>
  <c r="J119" i="2" s="1"/>
  <c r="K119" i="2" s="1"/>
  <c r="L118" i="2"/>
  <c r="H118" i="2"/>
  <c r="E118" i="2"/>
  <c r="G118" i="2" s="1"/>
  <c r="I118" i="2" s="1"/>
  <c r="L117" i="2"/>
  <c r="H117" i="2"/>
  <c r="E117" i="2"/>
  <c r="G117" i="2" s="1"/>
  <c r="I117" i="2" s="1"/>
  <c r="J117" i="2" s="1"/>
  <c r="K117" i="2" s="1"/>
  <c r="L116" i="2"/>
  <c r="H116" i="2"/>
  <c r="E116" i="2"/>
  <c r="G116" i="2" s="1"/>
  <c r="I116" i="2" s="1"/>
  <c r="J116" i="2" s="1"/>
  <c r="K116" i="2" s="1"/>
  <c r="L115" i="2"/>
  <c r="H115" i="2"/>
  <c r="E115" i="2"/>
  <c r="G115" i="2" s="1"/>
  <c r="I115" i="2" s="1"/>
  <c r="J115" i="2" s="1"/>
  <c r="K115" i="2" s="1"/>
  <c r="L114" i="2"/>
  <c r="H114" i="2"/>
  <c r="E114" i="2"/>
  <c r="G114" i="2" s="1"/>
  <c r="I114" i="2" s="1"/>
  <c r="L113" i="2"/>
  <c r="H113" i="2"/>
  <c r="E113" i="2"/>
  <c r="G113" i="2" s="1"/>
  <c r="I113" i="2" s="1"/>
  <c r="J113" i="2" s="1"/>
  <c r="K113" i="2" s="1"/>
  <c r="L112" i="2"/>
  <c r="H112" i="2"/>
  <c r="E112" i="2"/>
  <c r="G112" i="2" s="1"/>
  <c r="I112" i="2" s="1"/>
  <c r="J112" i="2" s="1"/>
  <c r="K112" i="2" s="1"/>
  <c r="L111" i="2"/>
  <c r="H111" i="2"/>
  <c r="E111" i="2"/>
  <c r="G111" i="2" s="1"/>
  <c r="I111" i="2" s="1"/>
  <c r="L110" i="2"/>
  <c r="H110" i="2"/>
  <c r="E110" i="2"/>
  <c r="G110" i="2" s="1"/>
  <c r="I110" i="2" s="1"/>
  <c r="J110" i="2" s="1"/>
  <c r="K110" i="2" s="1"/>
  <c r="L109" i="2"/>
  <c r="H109" i="2"/>
  <c r="E109" i="2"/>
  <c r="G109" i="2" s="1"/>
  <c r="I109" i="2" s="1"/>
  <c r="J109" i="2" s="1"/>
  <c r="K109" i="2" s="1"/>
  <c r="L108" i="2"/>
  <c r="H108" i="2"/>
  <c r="E108" i="2"/>
  <c r="G108" i="2" s="1"/>
  <c r="I108" i="2" s="1"/>
  <c r="J108" i="2" s="1"/>
  <c r="K108" i="2" s="1"/>
  <c r="L107" i="2"/>
  <c r="H107" i="2"/>
  <c r="E107" i="2"/>
  <c r="G107" i="2" s="1"/>
  <c r="I107" i="2" s="1"/>
  <c r="L106" i="2"/>
  <c r="H106" i="2"/>
  <c r="E106" i="2"/>
  <c r="G106" i="2" s="1"/>
  <c r="I106" i="2" s="1"/>
  <c r="J106" i="2" s="1"/>
  <c r="K106" i="2" s="1"/>
  <c r="L105" i="2"/>
  <c r="H105" i="2"/>
  <c r="E105" i="2"/>
  <c r="G105" i="2" s="1"/>
  <c r="I105" i="2" s="1"/>
  <c r="J105" i="2" s="1"/>
  <c r="K105" i="2" s="1"/>
  <c r="L104" i="2"/>
  <c r="H104" i="2"/>
  <c r="E104" i="2"/>
  <c r="G104" i="2" s="1"/>
  <c r="I104" i="2" s="1"/>
  <c r="J104" i="2" s="1"/>
  <c r="K104" i="2" s="1"/>
  <c r="L103" i="2"/>
  <c r="H103" i="2"/>
  <c r="E103" i="2"/>
  <c r="G103" i="2" s="1"/>
  <c r="I103" i="2" s="1"/>
  <c r="L102" i="2"/>
  <c r="H102" i="2"/>
  <c r="E102" i="2"/>
  <c r="G102" i="2" s="1"/>
  <c r="I102" i="2" s="1"/>
  <c r="J102" i="2" s="1"/>
  <c r="K102" i="2" s="1"/>
  <c r="L101" i="2"/>
  <c r="H101" i="2"/>
  <c r="E101" i="2"/>
  <c r="G101" i="2" s="1"/>
  <c r="I101" i="2" s="1"/>
  <c r="J101" i="2" s="1"/>
  <c r="K101" i="2" s="1"/>
  <c r="L100" i="2"/>
  <c r="H100" i="2"/>
  <c r="E100" i="2"/>
  <c r="G100" i="2" s="1"/>
  <c r="I100" i="2" s="1"/>
  <c r="L99" i="2"/>
  <c r="H99" i="2"/>
  <c r="E99" i="2"/>
  <c r="G99" i="2" s="1"/>
  <c r="I99" i="2" s="1"/>
  <c r="J99" i="2" s="1"/>
  <c r="K99" i="2" s="1"/>
  <c r="L98" i="2"/>
  <c r="H98" i="2"/>
  <c r="E98" i="2"/>
  <c r="G98" i="2" s="1"/>
  <c r="I98" i="2" s="1"/>
  <c r="J98" i="2" s="1"/>
  <c r="K98" i="2" s="1"/>
  <c r="L97" i="2"/>
  <c r="H97" i="2"/>
  <c r="E97" i="2"/>
  <c r="G97" i="2" s="1"/>
  <c r="I97" i="2" s="1"/>
  <c r="L96" i="2"/>
  <c r="H96" i="2"/>
  <c r="E96" i="2"/>
  <c r="G96" i="2" s="1"/>
  <c r="I96" i="2" s="1"/>
  <c r="L95" i="2"/>
  <c r="H95" i="2"/>
  <c r="E95" i="2"/>
  <c r="G95" i="2" s="1"/>
  <c r="I95" i="2" s="1"/>
  <c r="J95" i="2" s="1"/>
  <c r="K95" i="2" s="1"/>
  <c r="L94" i="2"/>
  <c r="H94" i="2"/>
  <c r="E94" i="2"/>
  <c r="G94" i="2" s="1"/>
  <c r="I94" i="2" s="1"/>
  <c r="L93" i="2"/>
  <c r="H93" i="2"/>
  <c r="E93" i="2"/>
  <c r="G93" i="2" s="1"/>
  <c r="I93" i="2" s="1"/>
  <c r="L92" i="2"/>
  <c r="H92" i="2"/>
  <c r="E92" i="2"/>
  <c r="G92" i="2" s="1"/>
  <c r="I92" i="2" s="1"/>
  <c r="L91" i="2"/>
  <c r="H91" i="2"/>
  <c r="E91" i="2"/>
  <c r="G91" i="2" s="1"/>
  <c r="I91" i="2" s="1"/>
  <c r="J91" i="2" s="1"/>
  <c r="K91" i="2" s="1"/>
  <c r="L90" i="2"/>
  <c r="H90" i="2"/>
  <c r="E90" i="2"/>
  <c r="G90" i="2" s="1"/>
  <c r="I90" i="2" s="1"/>
  <c r="J90" i="2" s="1"/>
  <c r="K90" i="2" s="1"/>
  <c r="L89" i="2"/>
  <c r="H89" i="2"/>
  <c r="E89" i="2"/>
  <c r="G89" i="2" s="1"/>
  <c r="I89" i="2" s="1"/>
  <c r="L88" i="2"/>
  <c r="H88" i="2"/>
  <c r="E88" i="2"/>
  <c r="G88" i="2" s="1"/>
  <c r="I88" i="2" s="1"/>
  <c r="L87" i="2"/>
  <c r="H87" i="2"/>
  <c r="E87" i="2"/>
  <c r="G87" i="2" s="1"/>
  <c r="I87" i="2" s="1"/>
  <c r="L86" i="2"/>
  <c r="H86" i="2"/>
  <c r="E86" i="2"/>
  <c r="G86" i="2" s="1"/>
  <c r="I86" i="2" s="1"/>
  <c r="J86" i="2" s="1"/>
  <c r="K86" i="2" s="1"/>
  <c r="L85" i="2"/>
  <c r="H85" i="2"/>
  <c r="E85" i="2"/>
  <c r="G85" i="2" s="1"/>
  <c r="I85" i="2" s="1"/>
  <c r="L84" i="2"/>
  <c r="H84" i="2"/>
  <c r="E84" i="2"/>
  <c r="G84" i="2" s="1"/>
  <c r="I84" i="2" s="1"/>
  <c r="L83" i="2"/>
  <c r="H83" i="2"/>
  <c r="E83" i="2"/>
  <c r="G83" i="2" s="1"/>
  <c r="I83" i="2" s="1"/>
  <c r="J83" i="2" s="1"/>
  <c r="K83" i="2" s="1"/>
  <c r="L82" i="2"/>
  <c r="H82" i="2"/>
  <c r="E82" i="2"/>
  <c r="G82" i="2" s="1"/>
  <c r="I82" i="2" s="1"/>
  <c r="L81" i="2"/>
  <c r="H81" i="2"/>
  <c r="E81" i="2"/>
  <c r="G81" i="2" s="1"/>
  <c r="I81" i="2" s="1"/>
  <c r="L80" i="2"/>
  <c r="H80" i="2"/>
  <c r="E80" i="2"/>
  <c r="G80" i="2" s="1"/>
  <c r="I80" i="2" s="1"/>
  <c r="J80" i="2" s="1"/>
  <c r="K80" i="2" s="1"/>
  <c r="L79" i="2"/>
  <c r="H79" i="2"/>
  <c r="E79" i="2"/>
  <c r="G79" i="2" s="1"/>
  <c r="I79" i="2" s="1"/>
  <c r="L78" i="2"/>
  <c r="H78" i="2"/>
  <c r="E78" i="2"/>
  <c r="G78" i="2" s="1"/>
  <c r="I78" i="2" s="1"/>
  <c r="J78" i="2" s="1"/>
  <c r="K78" i="2" s="1"/>
  <c r="L77" i="2"/>
  <c r="H77" i="2"/>
  <c r="E77" i="2"/>
  <c r="G77" i="2" s="1"/>
  <c r="I77" i="2" s="1"/>
  <c r="J77" i="2" s="1"/>
  <c r="K77" i="2" s="1"/>
  <c r="L76" i="2"/>
  <c r="H76" i="2"/>
  <c r="E76" i="2"/>
  <c r="G76" i="2" s="1"/>
  <c r="I76" i="2" s="1"/>
  <c r="L75" i="2"/>
  <c r="H75" i="2"/>
  <c r="E75" i="2"/>
  <c r="G75" i="2" s="1"/>
  <c r="I75" i="2" s="1"/>
  <c r="J75" i="2" s="1"/>
  <c r="K75" i="2" s="1"/>
  <c r="L74" i="2"/>
  <c r="H74" i="2"/>
  <c r="E74" i="2"/>
  <c r="G74" i="2" s="1"/>
  <c r="I74" i="2" s="1"/>
  <c r="J74" i="2" s="1"/>
  <c r="K74" i="2" s="1"/>
  <c r="L73" i="2"/>
  <c r="H73" i="2"/>
  <c r="E73" i="2"/>
  <c r="G73" i="2" s="1"/>
  <c r="I73" i="2" s="1"/>
  <c r="L72" i="2"/>
  <c r="H72" i="2"/>
  <c r="E72" i="2"/>
  <c r="G72" i="2" s="1"/>
  <c r="I72" i="2" s="1"/>
  <c r="J72" i="2" s="1"/>
  <c r="K72" i="2" s="1"/>
  <c r="L71" i="2"/>
  <c r="H71" i="2"/>
  <c r="E71" i="2"/>
  <c r="G71" i="2" s="1"/>
  <c r="I71" i="2" s="1"/>
  <c r="L70" i="2"/>
  <c r="H70" i="2"/>
  <c r="E70" i="2"/>
  <c r="G70" i="2" s="1"/>
  <c r="I70" i="2" s="1"/>
  <c r="L69" i="2"/>
  <c r="H69" i="2"/>
  <c r="E69" i="2"/>
  <c r="G69" i="2" s="1"/>
  <c r="I69" i="2" s="1"/>
  <c r="L68" i="2"/>
  <c r="H68" i="2"/>
  <c r="E68" i="2"/>
  <c r="G68" i="2" s="1"/>
  <c r="I68" i="2" s="1"/>
  <c r="L67" i="2"/>
  <c r="H67" i="2"/>
  <c r="E67" i="2"/>
  <c r="G67" i="2" s="1"/>
  <c r="I67" i="2" s="1"/>
  <c r="J67" i="2" s="1"/>
  <c r="K67" i="2" s="1"/>
  <c r="L66" i="2"/>
  <c r="H66" i="2"/>
  <c r="E66" i="2"/>
  <c r="G66" i="2" s="1"/>
  <c r="I66" i="2" s="1"/>
  <c r="J66" i="2" s="1"/>
  <c r="K66" i="2" s="1"/>
  <c r="L65" i="2"/>
  <c r="H65" i="2"/>
  <c r="E65" i="2"/>
  <c r="G65" i="2" s="1"/>
  <c r="I65" i="2" s="1"/>
  <c r="J65" i="2" s="1"/>
  <c r="K65" i="2" s="1"/>
  <c r="L64" i="2"/>
  <c r="H64" i="2"/>
  <c r="E64" i="2"/>
  <c r="G64" i="2" s="1"/>
  <c r="I64" i="2" s="1"/>
  <c r="L63" i="2"/>
  <c r="H63" i="2"/>
  <c r="E63" i="2"/>
  <c r="G63" i="2" s="1"/>
  <c r="I63" i="2" s="1"/>
  <c r="J63" i="2" s="1"/>
  <c r="K63" i="2" s="1"/>
  <c r="L62" i="2"/>
  <c r="H62" i="2"/>
  <c r="E62" i="2"/>
  <c r="G62" i="2" s="1"/>
  <c r="I62" i="2" s="1"/>
  <c r="L61" i="2"/>
  <c r="H61" i="2"/>
  <c r="E61" i="2"/>
  <c r="G61" i="2" s="1"/>
  <c r="I61" i="2" s="1"/>
  <c r="J61" i="2" s="1"/>
  <c r="K61" i="2" s="1"/>
  <c r="L60" i="2"/>
  <c r="H60" i="2"/>
  <c r="E60" i="2"/>
  <c r="G60" i="2" s="1"/>
  <c r="I60" i="2" s="1"/>
  <c r="L59" i="2"/>
  <c r="H59" i="2"/>
  <c r="E59" i="2"/>
  <c r="G59" i="2" s="1"/>
  <c r="I59" i="2" s="1"/>
  <c r="J59" i="2" s="1"/>
  <c r="K59" i="2" s="1"/>
  <c r="L58" i="2"/>
  <c r="H58" i="2"/>
  <c r="E58" i="2"/>
  <c r="G58" i="2" s="1"/>
  <c r="I58" i="2" s="1"/>
  <c r="J58" i="2" s="1"/>
  <c r="K58" i="2" s="1"/>
  <c r="L57" i="2"/>
  <c r="H57" i="2"/>
  <c r="E57" i="2"/>
  <c r="G57" i="2" s="1"/>
  <c r="I57" i="2" s="1"/>
  <c r="L56" i="2"/>
  <c r="H56" i="2"/>
  <c r="E56" i="2"/>
  <c r="G56" i="2" s="1"/>
  <c r="I56" i="2" s="1"/>
  <c r="L55" i="2"/>
  <c r="H55" i="2"/>
  <c r="E55" i="2"/>
  <c r="G55" i="2" s="1"/>
  <c r="I55" i="2" s="1"/>
  <c r="J55" i="2" s="1"/>
  <c r="K55" i="2" s="1"/>
  <c r="L54" i="2"/>
  <c r="H54" i="2"/>
  <c r="E54" i="2"/>
  <c r="G54" i="2" s="1"/>
  <c r="I54" i="2" s="1"/>
  <c r="L53" i="2"/>
  <c r="H53" i="2"/>
  <c r="E53" i="2"/>
  <c r="G53" i="2" s="1"/>
  <c r="I53" i="2" s="1"/>
  <c r="J53" i="2" s="1"/>
  <c r="K53" i="2" s="1"/>
  <c r="L52" i="2"/>
  <c r="H52" i="2"/>
  <c r="E52" i="2"/>
  <c r="G52" i="2" s="1"/>
  <c r="I52" i="2" s="1"/>
  <c r="L51" i="2"/>
  <c r="H51" i="2"/>
  <c r="E51" i="2"/>
  <c r="G51" i="2" s="1"/>
  <c r="I51" i="2" s="1"/>
  <c r="J51" i="2" s="1"/>
  <c r="K51" i="2" s="1"/>
  <c r="L50" i="2"/>
  <c r="H50" i="2"/>
  <c r="E50" i="2"/>
  <c r="G50" i="2" s="1"/>
  <c r="I50" i="2" s="1"/>
  <c r="J50" i="2" s="1"/>
  <c r="K50" i="2" s="1"/>
  <c r="L49" i="2"/>
  <c r="H49" i="2"/>
  <c r="E49" i="2"/>
  <c r="G49" i="2" s="1"/>
  <c r="I49" i="2" s="1"/>
  <c r="J49" i="2" s="1"/>
  <c r="K49" i="2" s="1"/>
  <c r="L48" i="2"/>
  <c r="H48" i="2"/>
  <c r="E48" i="2"/>
  <c r="G48" i="2" s="1"/>
  <c r="I48" i="2" s="1"/>
  <c r="L47" i="2"/>
  <c r="H47" i="2"/>
  <c r="E47" i="2"/>
  <c r="G47" i="2" s="1"/>
  <c r="I47" i="2" s="1"/>
  <c r="J47" i="2" s="1"/>
  <c r="K47" i="2" s="1"/>
  <c r="L46" i="2"/>
  <c r="H46" i="2"/>
  <c r="E46" i="2"/>
  <c r="G46" i="2" s="1"/>
  <c r="I46" i="2" s="1"/>
  <c r="L45" i="2"/>
  <c r="H45" i="2"/>
  <c r="E45" i="2"/>
  <c r="G45" i="2" s="1"/>
  <c r="I45" i="2" s="1"/>
  <c r="J45" i="2" s="1"/>
  <c r="K45" i="2" s="1"/>
  <c r="L44" i="2"/>
  <c r="H44" i="2"/>
  <c r="E44" i="2"/>
  <c r="G44" i="2" s="1"/>
  <c r="I44" i="2" s="1"/>
  <c r="J44" i="2" s="1"/>
  <c r="K44" i="2" s="1"/>
  <c r="L43" i="2"/>
  <c r="H43" i="2"/>
  <c r="E43" i="2"/>
  <c r="G43" i="2" s="1"/>
  <c r="I43" i="2" s="1"/>
  <c r="J43" i="2" s="1"/>
  <c r="K43" i="2" s="1"/>
  <c r="L42" i="2"/>
  <c r="H42" i="2"/>
  <c r="E42" i="2"/>
  <c r="G42" i="2" s="1"/>
  <c r="I42" i="2" s="1"/>
  <c r="L41" i="2"/>
  <c r="H41" i="2"/>
  <c r="E41" i="2"/>
  <c r="G41" i="2" s="1"/>
  <c r="I41" i="2" s="1"/>
  <c r="J41" i="2" s="1"/>
  <c r="K41" i="2" s="1"/>
  <c r="L40" i="2"/>
  <c r="H40" i="2"/>
  <c r="E40" i="2"/>
  <c r="G40" i="2" s="1"/>
  <c r="I40" i="2" s="1"/>
  <c r="J40" i="2" s="1"/>
  <c r="K40" i="2" s="1"/>
  <c r="L39" i="2"/>
  <c r="H39" i="2"/>
  <c r="E39" i="2"/>
  <c r="G39" i="2" s="1"/>
  <c r="I39" i="2" s="1"/>
  <c r="L38" i="2"/>
  <c r="H38" i="2"/>
  <c r="E38" i="2"/>
  <c r="G38" i="2" s="1"/>
  <c r="I38" i="2" s="1"/>
  <c r="J38" i="2" s="1"/>
  <c r="K38" i="2" s="1"/>
  <c r="L37" i="2"/>
  <c r="H37" i="2"/>
  <c r="E37" i="2"/>
  <c r="G37" i="2" s="1"/>
  <c r="I37" i="2" s="1"/>
  <c r="L36" i="2"/>
  <c r="H36" i="2"/>
  <c r="E36" i="2"/>
  <c r="G36" i="2" s="1"/>
  <c r="I36" i="2" s="1"/>
  <c r="J36" i="2" s="1"/>
  <c r="K36" i="2" s="1"/>
  <c r="L35" i="2"/>
  <c r="H35" i="2"/>
  <c r="E35" i="2"/>
  <c r="G35" i="2" s="1"/>
  <c r="I35" i="2" s="1"/>
  <c r="L34" i="2"/>
  <c r="H34" i="2"/>
  <c r="E34" i="2"/>
  <c r="G34" i="2" s="1"/>
  <c r="I34" i="2" s="1"/>
  <c r="J34" i="2" s="1"/>
  <c r="K34" i="2" s="1"/>
  <c r="L33" i="2"/>
  <c r="H33" i="2"/>
  <c r="E33" i="2"/>
  <c r="G33" i="2" s="1"/>
  <c r="I33" i="2" s="1"/>
  <c r="L32" i="2"/>
  <c r="H32" i="2"/>
  <c r="E32" i="2"/>
  <c r="G32" i="2" s="1"/>
  <c r="I32" i="2" s="1"/>
  <c r="J32" i="2" s="1"/>
  <c r="K32" i="2" s="1"/>
  <c r="L31" i="2"/>
  <c r="H31" i="2"/>
  <c r="E31" i="2"/>
  <c r="G31" i="2" s="1"/>
  <c r="I31" i="2" s="1"/>
  <c r="L30" i="2"/>
  <c r="H30" i="2"/>
  <c r="E30" i="2"/>
  <c r="G30" i="2" s="1"/>
  <c r="I30" i="2" s="1"/>
  <c r="L29" i="2"/>
  <c r="H29" i="2"/>
  <c r="E29" i="2"/>
  <c r="G29" i="2" s="1"/>
  <c r="I29" i="2" s="1"/>
  <c r="J29" i="2" s="1"/>
  <c r="K29" i="2" s="1"/>
  <c r="L28" i="2"/>
  <c r="H28" i="2"/>
  <c r="E28" i="2"/>
  <c r="G28" i="2" s="1"/>
  <c r="I28" i="2" s="1"/>
  <c r="J28" i="2" s="1"/>
  <c r="K28" i="2" s="1"/>
  <c r="L27" i="2"/>
  <c r="H27" i="2"/>
  <c r="E27" i="2"/>
  <c r="G27" i="2" s="1"/>
  <c r="I27" i="2" s="1"/>
  <c r="L26" i="2"/>
  <c r="H26" i="2"/>
  <c r="E26" i="2"/>
  <c r="G26" i="2" s="1"/>
  <c r="I26" i="2" s="1"/>
  <c r="L25" i="2"/>
  <c r="H25" i="2"/>
  <c r="E25" i="2"/>
  <c r="G25" i="2" s="1"/>
  <c r="I25" i="2" s="1"/>
  <c r="L24" i="2"/>
  <c r="H24" i="2"/>
  <c r="E24" i="2"/>
  <c r="G24" i="2" s="1"/>
  <c r="I24" i="2" s="1"/>
  <c r="J24" i="2" s="1"/>
  <c r="K24" i="2" s="1"/>
  <c r="L23" i="2"/>
  <c r="H23" i="2"/>
  <c r="E23" i="2"/>
  <c r="G23" i="2" s="1"/>
  <c r="I23" i="2" s="1"/>
  <c r="L22" i="2"/>
  <c r="H22" i="2"/>
  <c r="E22" i="2"/>
  <c r="G22" i="2" s="1"/>
  <c r="I22" i="2" s="1"/>
  <c r="L21" i="2"/>
  <c r="H21" i="2"/>
  <c r="E21" i="2"/>
  <c r="G21" i="2" s="1"/>
  <c r="I21" i="2" s="1"/>
  <c r="J21" i="2" s="1"/>
  <c r="K21" i="2" s="1"/>
  <c r="L20" i="2"/>
  <c r="H20" i="2"/>
  <c r="E20" i="2"/>
  <c r="G20" i="2" s="1"/>
  <c r="I20" i="2" s="1"/>
  <c r="L19" i="2"/>
  <c r="H19" i="2"/>
  <c r="E19" i="2"/>
  <c r="G19" i="2" s="1"/>
  <c r="I19" i="2" s="1"/>
  <c r="J19" i="2" s="1"/>
  <c r="K19" i="2" s="1"/>
  <c r="L18" i="2"/>
  <c r="H18" i="2"/>
  <c r="E18" i="2"/>
  <c r="G18" i="2" s="1"/>
  <c r="I18" i="2" s="1"/>
  <c r="L17" i="2"/>
  <c r="H17" i="2"/>
  <c r="E17" i="2"/>
  <c r="G17" i="2" s="1"/>
  <c r="I17" i="2" s="1"/>
  <c r="L16" i="2"/>
  <c r="H16" i="2"/>
  <c r="E16" i="2"/>
  <c r="G16" i="2" s="1"/>
  <c r="I16" i="2" s="1"/>
  <c r="J16" i="2" s="1"/>
  <c r="K16" i="2" s="1"/>
  <c r="L15" i="2"/>
  <c r="H15" i="2"/>
  <c r="E15" i="2"/>
  <c r="G15" i="2" s="1"/>
  <c r="I15" i="2" s="1"/>
  <c r="J15" i="2" s="1"/>
  <c r="K15" i="2" s="1"/>
  <c r="L14" i="2"/>
  <c r="H14" i="2"/>
  <c r="E14" i="2"/>
  <c r="G14" i="2" s="1"/>
  <c r="I14" i="2" s="1"/>
  <c r="L13" i="2"/>
  <c r="H13" i="2"/>
  <c r="E13" i="2"/>
  <c r="G13" i="2" s="1"/>
  <c r="I13" i="2" s="1"/>
  <c r="J13" i="2" s="1"/>
  <c r="K13" i="2" s="1"/>
  <c r="L12" i="2"/>
  <c r="H12" i="2"/>
  <c r="E12" i="2"/>
  <c r="G12" i="2" s="1"/>
  <c r="I12" i="2" s="1"/>
  <c r="L11" i="2"/>
  <c r="H11" i="2"/>
  <c r="E11" i="2"/>
  <c r="G11" i="2" s="1"/>
  <c r="I11" i="2" s="1"/>
  <c r="L10" i="2"/>
  <c r="H10" i="2"/>
  <c r="E10" i="2"/>
  <c r="G10" i="2" s="1"/>
  <c r="I10" i="2" s="1"/>
  <c r="J10" i="2" s="1"/>
  <c r="K10" i="2" s="1"/>
  <c r="L9" i="2"/>
  <c r="H9" i="2"/>
  <c r="E9" i="2"/>
  <c r="G9" i="2" s="1"/>
  <c r="I9" i="2" s="1"/>
  <c r="L8" i="2"/>
  <c r="H8" i="2"/>
  <c r="E8" i="2"/>
  <c r="G8" i="2" s="1"/>
  <c r="I8" i="2" s="1"/>
  <c r="L7" i="2"/>
  <c r="H7" i="2"/>
  <c r="E7" i="2"/>
  <c r="G7" i="2" s="1"/>
  <c r="I7" i="2" s="1"/>
  <c r="J7" i="2" s="1"/>
  <c r="K7" i="2" s="1"/>
  <c r="L6" i="2"/>
  <c r="H6" i="2"/>
  <c r="E6" i="2"/>
  <c r="G6" i="2" s="1"/>
  <c r="I6" i="2" s="1"/>
  <c r="L5" i="2"/>
  <c r="H5" i="2"/>
  <c r="E5" i="2"/>
  <c r="G5" i="2" s="1"/>
  <c r="I5" i="2" s="1"/>
  <c r="L4" i="2"/>
  <c r="H4" i="2"/>
  <c r="E4" i="2"/>
  <c r="G4" i="2" s="1"/>
  <c r="I4" i="2" s="1"/>
  <c r="L3" i="2"/>
  <c r="H3" i="2"/>
  <c r="E3" i="2"/>
  <c r="G3" i="2" s="1"/>
  <c r="I3" i="2" s="1"/>
  <c r="J3" i="2" s="1"/>
  <c r="K3" i="2" s="1"/>
  <c r="L2" i="2"/>
  <c r="H2" i="2"/>
  <c r="E2" i="2"/>
  <c r="G2" i="2" s="1"/>
  <c r="I2" i="2" s="1"/>
  <c r="J394" i="2" l="1"/>
  <c r="E201" i="1"/>
  <c r="J392" i="2"/>
  <c r="E200" i="1"/>
  <c r="J391" i="2"/>
  <c r="E199" i="1"/>
  <c r="J389" i="2"/>
  <c r="E198" i="1"/>
  <c r="J388" i="2"/>
  <c r="E197" i="1"/>
  <c r="J385" i="2"/>
  <c r="E196" i="1"/>
  <c r="J383" i="2"/>
  <c r="E195" i="1"/>
  <c r="J382" i="2"/>
  <c r="E194" i="1"/>
  <c r="J381" i="2"/>
  <c r="E193" i="1"/>
  <c r="J378" i="2"/>
  <c r="E192" i="1"/>
  <c r="J377" i="2"/>
  <c r="E191" i="1"/>
  <c r="J375" i="2"/>
  <c r="E190" i="1"/>
  <c r="J373" i="2"/>
  <c r="E189" i="1"/>
  <c r="J371" i="2"/>
  <c r="E188" i="1"/>
  <c r="J369" i="2"/>
  <c r="E187" i="1"/>
  <c r="J366" i="2"/>
  <c r="E186" i="1"/>
  <c r="J365" i="2"/>
  <c r="E185" i="1"/>
  <c r="J364" i="2"/>
  <c r="E184" i="1"/>
  <c r="J362" i="2"/>
  <c r="E183" i="1"/>
  <c r="J358" i="2"/>
  <c r="E182" i="1"/>
  <c r="J357" i="2"/>
  <c r="E181" i="1"/>
  <c r="J355" i="2"/>
  <c r="E180" i="1"/>
  <c r="J353" i="2"/>
  <c r="E179" i="1"/>
  <c r="J351" i="2"/>
  <c r="E178" i="1"/>
  <c r="J347" i="2"/>
  <c r="E177" i="1"/>
  <c r="J345" i="2"/>
  <c r="E176" i="1"/>
  <c r="J343" i="2"/>
  <c r="E175" i="1"/>
  <c r="E174" i="1"/>
  <c r="J341" i="2"/>
  <c r="J340" i="2"/>
  <c r="E173" i="1"/>
  <c r="E172" i="1"/>
  <c r="J337" i="2"/>
  <c r="J335" i="2"/>
  <c r="E171" i="1"/>
  <c r="E170" i="1"/>
  <c r="J332" i="2"/>
  <c r="E169" i="1"/>
  <c r="J330" i="2"/>
  <c r="E168" i="1"/>
  <c r="J329" i="2"/>
  <c r="E167" i="1"/>
  <c r="J328" i="2"/>
  <c r="J325" i="2"/>
  <c r="E166" i="1"/>
  <c r="J324" i="2"/>
  <c r="E165" i="1"/>
  <c r="J321" i="2"/>
  <c r="E164" i="1"/>
  <c r="J320" i="2"/>
  <c r="E163" i="1"/>
  <c r="J318" i="2"/>
  <c r="E162" i="1"/>
  <c r="J317" i="2"/>
  <c r="E161" i="1"/>
  <c r="J314" i="2"/>
  <c r="E160" i="1"/>
  <c r="J313" i="2"/>
  <c r="E159" i="1"/>
  <c r="J310" i="2"/>
  <c r="E158" i="1"/>
  <c r="J308" i="2"/>
  <c r="E157" i="1"/>
  <c r="J307" i="2"/>
  <c r="E156" i="1"/>
  <c r="J304" i="2"/>
  <c r="E155" i="1"/>
  <c r="J303" i="2"/>
  <c r="E154" i="1"/>
  <c r="J301" i="2"/>
  <c r="E153" i="1"/>
  <c r="E152" i="1"/>
  <c r="J300" i="2"/>
  <c r="J299" i="2"/>
  <c r="E151" i="1"/>
  <c r="J298" i="2"/>
  <c r="E150" i="1"/>
  <c r="J295" i="2"/>
  <c r="E149" i="1"/>
  <c r="E148" i="1"/>
  <c r="J292" i="2"/>
  <c r="J289" i="2"/>
  <c r="E147" i="1"/>
  <c r="J288" i="2"/>
  <c r="E146" i="1"/>
  <c r="E145" i="1"/>
  <c r="J286" i="2"/>
  <c r="J283" i="2"/>
  <c r="E144" i="1"/>
  <c r="J282" i="2"/>
  <c r="E143" i="1"/>
  <c r="J280" i="2"/>
  <c r="E142" i="1"/>
  <c r="J278" i="2"/>
  <c r="E141" i="1"/>
  <c r="J277" i="2"/>
  <c r="E140" i="1"/>
  <c r="J276" i="2"/>
  <c r="E139" i="1"/>
  <c r="J275" i="2"/>
  <c r="E138" i="1"/>
  <c r="J272" i="2"/>
  <c r="E137" i="1"/>
  <c r="J269" i="2"/>
  <c r="E136" i="1"/>
  <c r="J266" i="2"/>
  <c r="E135" i="1"/>
  <c r="J264" i="2"/>
  <c r="E134" i="1"/>
  <c r="J263" i="2"/>
  <c r="E133" i="1"/>
  <c r="J259" i="2"/>
  <c r="E132" i="1"/>
  <c r="J258" i="2"/>
  <c r="E131" i="1"/>
  <c r="E130" i="1"/>
  <c r="J255" i="2"/>
  <c r="J253" i="2"/>
  <c r="E129" i="1"/>
  <c r="J251" i="2"/>
  <c r="E128" i="1"/>
  <c r="J249" i="2"/>
  <c r="E127" i="1"/>
  <c r="J246" i="2"/>
  <c r="E126" i="1"/>
  <c r="J244" i="2"/>
  <c r="E125" i="1"/>
  <c r="J241" i="2"/>
  <c r="E124" i="1"/>
  <c r="J239" i="2"/>
  <c r="E123" i="1"/>
  <c r="J236" i="2"/>
  <c r="E122" i="1"/>
  <c r="J234" i="2"/>
  <c r="E121" i="1"/>
  <c r="J232" i="2"/>
  <c r="E120" i="1"/>
  <c r="J231" i="2"/>
  <c r="E119" i="1"/>
  <c r="J229" i="2"/>
  <c r="E118" i="1"/>
  <c r="J227" i="2"/>
  <c r="E117" i="1"/>
  <c r="J225" i="2"/>
  <c r="E116" i="1"/>
  <c r="E115" i="1"/>
  <c r="J223" i="2"/>
  <c r="J220" i="2"/>
  <c r="E114" i="1"/>
  <c r="J218" i="2"/>
  <c r="E113" i="1"/>
  <c r="J215" i="2"/>
  <c r="E112" i="1"/>
  <c r="J214" i="2"/>
  <c r="E111" i="1"/>
  <c r="J212" i="2"/>
  <c r="E110" i="1"/>
  <c r="J209" i="2"/>
  <c r="E109" i="1"/>
  <c r="J206" i="2"/>
  <c r="E108" i="1"/>
  <c r="J205" i="2"/>
  <c r="E107" i="1"/>
  <c r="J203" i="2"/>
  <c r="E106" i="1"/>
  <c r="J202" i="2"/>
  <c r="E105" i="1"/>
  <c r="J200" i="2"/>
  <c r="E104" i="1"/>
  <c r="J199" i="2"/>
  <c r="E103" i="1"/>
  <c r="J196" i="2"/>
  <c r="E102" i="1"/>
  <c r="J195" i="2"/>
  <c r="E101" i="1"/>
  <c r="J192" i="2"/>
  <c r="E100" i="1"/>
  <c r="J189" i="2"/>
  <c r="E99" i="1"/>
  <c r="J188" i="2"/>
  <c r="E98" i="1"/>
  <c r="J187" i="2"/>
  <c r="E97" i="1"/>
  <c r="E96" i="1"/>
  <c r="J186" i="2"/>
  <c r="J184" i="2"/>
  <c r="E95" i="1"/>
  <c r="J180" i="2"/>
  <c r="E94" i="1"/>
  <c r="J178" i="2"/>
  <c r="E93" i="1"/>
  <c r="E92" i="1"/>
  <c r="J176" i="2"/>
  <c r="J172" i="2"/>
  <c r="E91" i="1"/>
  <c r="J171" i="2"/>
  <c r="E90" i="1"/>
  <c r="J170" i="2"/>
  <c r="E89" i="1"/>
  <c r="J168" i="2"/>
  <c r="E88" i="1"/>
  <c r="E87" i="1"/>
  <c r="J166" i="2"/>
  <c r="E86" i="1"/>
  <c r="J163" i="2"/>
  <c r="E85" i="1"/>
  <c r="J161" i="2"/>
  <c r="J160" i="2"/>
  <c r="E84" i="1"/>
  <c r="J159" i="2"/>
  <c r="E83" i="1"/>
  <c r="E82" i="1"/>
  <c r="J155" i="2"/>
  <c r="J153" i="2"/>
  <c r="E81" i="1"/>
  <c r="J151" i="2"/>
  <c r="E80" i="1"/>
  <c r="J148" i="2"/>
  <c r="E79" i="1"/>
  <c r="J147" i="2"/>
  <c r="E78" i="1"/>
  <c r="E77" i="1"/>
  <c r="J145" i="2"/>
  <c r="J144" i="2"/>
  <c r="E76" i="1"/>
  <c r="J142" i="2"/>
  <c r="E75" i="1"/>
  <c r="J141" i="2"/>
  <c r="E74" i="1"/>
  <c r="J138" i="2"/>
  <c r="E73" i="1"/>
  <c r="J137" i="2"/>
  <c r="E72" i="1"/>
  <c r="J136" i="2"/>
  <c r="E71" i="1"/>
  <c r="J135" i="2"/>
  <c r="E70" i="1"/>
  <c r="J134" i="2"/>
  <c r="E69" i="1"/>
  <c r="J133" i="2"/>
  <c r="E68" i="1"/>
  <c r="J131" i="2"/>
  <c r="E67" i="1"/>
  <c r="J128" i="2"/>
  <c r="E66" i="1"/>
  <c r="J127" i="2"/>
  <c r="E65" i="1"/>
  <c r="J126" i="2"/>
  <c r="E64" i="1"/>
  <c r="J123" i="2"/>
  <c r="E63" i="1"/>
  <c r="J122" i="2"/>
  <c r="E62" i="1"/>
  <c r="J121" i="2"/>
  <c r="E61" i="1"/>
  <c r="J120" i="2"/>
  <c r="E60" i="1"/>
  <c r="J118" i="2"/>
  <c r="E59" i="1"/>
  <c r="J114" i="2"/>
  <c r="E58" i="1"/>
  <c r="J111" i="2"/>
  <c r="E57" i="1"/>
  <c r="J107" i="2"/>
  <c r="E56" i="1"/>
  <c r="J103" i="2"/>
  <c r="E55" i="1"/>
  <c r="J100" i="2"/>
  <c r="E54" i="1"/>
  <c r="J97" i="2"/>
  <c r="E53" i="1"/>
  <c r="J96" i="2"/>
  <c r="E52" i="1"/>
  <c r="J94" i="2"/>
  <c r="E51" i="1"/>
  <c r="J93" i="2"/>
  <c r="E50" i="1"/>
  <c r="J92" i="2"/>
  <c r="E49" i="1"/>
  <c r="J89" i="2"/>
  <c r="E48" i="1"/>
  <c r="J88" i="2"/>
  <c r="E47" i="1"/>
  <c r="J87" i="2"/>
  <c r="E46" i="1"/>
  <c r="J85" i="2"/>
  <c r="E45" i="1"/>
  <c r="J84" i="2"/>
  <c r="E44" i="1"/>
  <c r="J82" i="2"/>
  <c r="E43" i="1"/>
  <c r="J81" i="2"/>
  <c r="E42" i="1"/>
  <c r="J79" i="2"/>
  <c r="E41" i="1"/>
  <c r="J76" i="2"/>
  <c r="E40" i="1"/>
  <c r="J73" i="2"/>
  <c r="E39" i="1"/>
  <c r="J71" i="2"/>
  <c r="E38" i="1"/>
  <c r="J70" i="2"/>
  <c r="E37" i="1"/>
  <c r="J69" i="2"/>
  <c r="E36" i="1"/>
  <c r="J68" i="2"/>
  <c r="E35" i="1"/>
  <c r="J64" i="2"/>
  <c r="E34" i="1"/>
  <c r="J62" i="2"/>
  <c r="E33" i="1"/>
  <c r="J60" i="2"/>
  <c r="E32" i="1"/>
  <c r="J57" i="2"/>
  <c r="E31" i="1"/>
  <c r="J56" i="2"/>
  <c r="E30" i="1"/>
  <c r="J54" i="2"/>
  <c r="E29" i="1"/>
  <c r="J52" i="2"/>
  <c r="E28" i="1"/>
  <c r="J48" i="2"/>
  <c r="E27" i="1"/>
  <c r="J46" i="2"/>
  <c r="E26" i="1"/>
  <c r="J42" i="2"/>
  <c r="E25" i="1"/>
  <c r="J39" i="2"/>
  <c r="E24" i="1"/>
  <c r="J37" i="2"/>
  <c r="E23" i="1"/>
  <c r="J35" i="2"/>
  <c r="E22" i="1"/>
  <c r="J33" i="2"/>
  <c r="E21" i="1"/>
  <c r="J31" i="2"/>
  <c r="E20" i="1"/>
  <c r="J30" i="2"/>
  <c r="E19" i="1"/>
  <c r="J27" i="2"/>
  <c r="E18" i="1"/>
  <c r="J26" i="2"/>
  <c r="E17" i="1"/>
  <c r="J25" i="2"/>
  <c r="E16" i="1"/>
  <c r="J23" i="2"/>
  <c r="E15" i="1"/>
  <c r="J22" i="2"/>
  <c r="E14" i="1"/>
  <c r="J20" i="2"/>
  <c r="E13" i="1"/>
  <c r="J18" i="2"/>
  <c r="E12" i="1"/>
  <c r="J17" i="2"/>
  <c r="E11" i="1"/>
  <c r="J14" i="2"/>
  <c r="E10" i="1"/>
  <c r="J12" i="2"/>
  <c r="E9" i="1"/>
  <c r="J11" i="2"/>
  <c r="E8" i="1"/>
  <c r="J9" i="2"/>
  <c r="E7" i="1"/>
  <c r="J8" i="2"/>
  <c r="E6" i="1"/>
  <c r="J6" i="2"/>
  <c r="E5" i="1"/>
  <c r="J5" i="2"/>
  <c r="E4" i="1"/>
  <c r="J4" i="2"/>
  <c r="E3" i="1"/>
  <c r="J2" i="2"/>
  <c r="E2" i="1"/>
  <c r="K394" i="2" l="1"/>
  <c r="F201" i="1"/>
  <c r="K392" i="2"/>
  <c r="F200" i="1"/>
  <c r="K391" i="2"/>
  <c r="F199" i="1"/>
  <c r="F198" i="1"/>
  <c r="K389" i="2"/>
  <c r="K388" i="2"/>
  <c r="F197" i="1"/>
  <c r="K385" i="2"/>
  <c r="F196" i="1"/>
  <c r="K383" i="2"/>
  <c r="F195" i="1"/>
  <c r="K382" i="2"/>
  <c r="F194" i="1"/>
  <c r="K381" i="2"/>
  <c r="F193" i="1"/>
  <c r="K378" i="2"/>
  <c r="F192" i="1"/>
  <c r="K377" i="2"/>
  <c r="F191" i="1"/>
  <c r="K375" i="2"/>
  <c r="F190" i="1"/>
  <c r="K373" i="2"/>
  <c r="F189" i="1"/>
  <c r="K371" i="2"/>
  <c r="F188" i="1"/>
  <c r="K369" i="2"/>
  <c r="F187" i="1"/>
  <c r="K366" i="2"/>
  <c r="F186" i="1"/>
  <c r="K365" i="2"/>
  <c r="F185" i="1"/>
  <c r="K364" i="2"/>
  <c r="F184" i="1"/>
  <c r="K362" i="2"/>
  <c r="F183" i="1"/>
  <c r="K358" i="2"/>
  <c r="F182" i="1"/>
  <c r="K357" i="2"/>
  <c r="F181" i="1"/>
  <c r="K355" i="2"/>
  <c r="F180" i="1"/>
  <c r="K353" i="2"/>
  <c r="F179" i="1"/>
  <c r="K351" i="2"/>
  <c r="F178" i="1"/>
  <c r="K347" i="2"/>
  <c r="F177" i="1"/>
  <c r="K345" i="2"/>
  <c r="F176" i="1"/>
  <c r="K343" i="2"/>
  <c r="F175" i="1"/>
  <c r="K341" i="2"/>
  <c r="F174" i="1"/>
  <c r="K340" i="2"/>
  <c r="F173" i="1"/>
  <c r="K337" i="2"/>
  <c r="F172" i="1"/>
  <c r="K335" i="2"/>
  <c r="F171" i="1"/>
  <c r="K332" i="2"/>
  <c r="F170" i="1"/>
  <c r="K330" i="2"/>
  <c r="F169" i="1"/>
  <c r="K329" i="2"/>
  <c r="F168" i="1"/>
  <c r="K328" i="2"/>
  <c r="F167" i="1"/>
  <c r="K325" i="2"/>
  <c r="F166" i="1"/>
  <c r="K324" i="2"/>
  <c r="F165" i="1"/>
  <c r="K321" i="2"/>
  <c r="F164" i="1"/>
  <c r="K320" i="2"/>
  <c r="F163" i="1"/>
  <c r="K318" i="2"/>
  <c r="F162" i="1"/>
  <c r="K317" i="2"/>
  <c r="F161" i="1"/>
  <c r="K314" i="2"/>
  <c r="F160" i="1"/>
  <c r="K313" i="2"/>
  <c r="F159" i="1"/>
  <c r="K310" i="2"/>
  <c r="F158" i="1"/>
  <c r="K308" i="2"/>
  <c r="F157" i="1"/>
  <c r="K307" i="2"/>
  <c r="F156" i="1"/>
  <c r="K304" i="2"/>
  <c r="F155" i="1"/>
  <c r="K303" i="2"/>
  <c r="F154" i="1"/>
  <c r="K301" i="2"/>
  <c r="F153" i="1"/>
  <c r="K300" i="2"/>
  <c r="F152" i="1"/>
  <c r="F151" i="1"/>
  <c r="K299" i="2"/>
  <c r="K298" i="2"/>
  <c r="F150" i="1"/>
  <c r="F149" i="1"/>
  <c r="K295" i="2"/>
  <c r="K292" i="2"/>
  <c r="F148" i="1"/>
  <c r="F147" i="1"/>
  <c r="K289" i="2"/>
  <c r="K288" i="2"/>
  <c r="F146" i="1"/>
  <c r="K286" i="2"/>
  <c r="F145" i="1"/>
  <c r="K283" i="2"/>
  <c r="F144" i="1"/>
  <c r="K282" i="2"/>
  <c r="F143" i="1"/>
  <c r="K280" i="2"/>
  <c r="F142" i="1"/>
  <c r="K278" i="2"/>
  <c r="F141" i="1"/>
  <c r="K277" i="2"/>
  <c r="F140" i="1"/>
  <c r="K276" i="2"/>
  <c r="F139" i="1"/>
  <c r="K275" i="2"/>
  <c r="F138" i="1"/>
  <c r="K272" i="2"/>
  <c r="F137" i="1"/>
  <c r="K269" i="2"/>
  <c r="F136" i="1"/>
  <c r="K266" i="2"/>
  <c r="F135" i="1"/>
  <c r="K264" i="2"/>
  <c r="F134" i="1"/>
  <c r="F133" i="1"/>
  <c r="K263" i="2"/>
  <c r="K259" i="2"/>
  <c r="F132" i="1"/>
  <c r="K258" i="2"/>
  <c r="F131" i="1"/>
  <c r="F130" i="1"/>
  <c r="K255" i="2"/>
  <c r="K253" i="2"/>
  <c r="F129" i="1"/>
  <c r="K251" i="2"/>
  <c r="F128" i="1"/>
  <c r="K249" i="2"/>
  <c r="F127" i="1"/>
  <c r="K246" i="2"/>
  <c r="F126" i="1"/>
  <c r="K244" i="2"/>
  <c r="F125" i="1"/>
  <c r="K241" i="2"/>
  <c r="F124" i="1"/>
  <c r="K239" i="2"/>
  <c r="F123" i="1"/>
  <c r="K236" i="2"/>
  <c r="F122" i="1"/>
  <c r="K234" i="2"/>
  <c r="F121" i="1"/>
  <c r="K232" i="2"/>
  <c r="F120" i="1"/>
  <c r="K231" i="2"/>
  <c r="F119" i="1"/>
  <c r="K229" i="2"/>
  <c r="F118" i="1"/>
  <c r="K227" i="2"/>
  <c r="F117" i="1"/>
  <c r="K225" i="2"/>
  <c r="F116" i="1"/>
  <c r="F115" i="1"/>
  <c r="K223" i="2"/>
  <c r="K220" i="2"/>
  <c r="F114" i="1"/>
  <c r="K218" i="2"/>
  <c r="F113" i="1"/>
  <c r="K215" i="2"/>
  <c r="F112" i="1"/>
  <c r="K214" i="2"/>
  <c r="F111" i="1"/>
  <c r="K212" i="2"/>
  <c r="F110" i="1"/>
  <c r="K209" i="2"/>
  <c r="F109" i="1"/>
  <c r="K206" i="2"/>
  <c r="F108" i="1"/>
  <c r="K205" i="2"/>
  <c r="F107" i="1"/>
  <c r="K203" i="2"/>
  <c r="F106" i="1"/>
  <c r="K202" i="2"/>
  <c r="F105" i="1"/>
  <c r="K200" i="2"/>
  <c r="F104" i="1"/>
  <c r="K199" i="2"/>
  <c r="F103" i="1"/>
  <c r="K196" i="2"/>
  <c r="F102" i="1"/>
  <c r="K195" i="2"/>
  <c r="F101" i="1"/>
  <c r="K192" i="2"/>
  <c r="F100" i="1"/>
  <c r="K189" i="2"/>
  <c r="F99" i="1"/>
  <c r="K188" i="2"/>
  <c r="F98" i="1"/>
  <c r="K187" i="2"/>
  <c r="F97" i="1"/>
  <c r="K186" i="2"/>
  <c r="F96" i="1"/>
  <c r="K184" i="2"/>
  <c r="F95" i="1"/>
  <c r="F94" i="1"/>
  <c r="K180" i="2"/>
  <c r="K178" i="2"/>
  <c r="F93" i="1"/>
  <c r="K176" i="2"/>
  <c r="F92" i="1"/>
  <c r="K172" i="2"/>
  <c r="F91" i="1"/>
  <c r="F90" i="1"/>
  <c r="K171" i="2"/>
  <c r="K170" i="2"/>
  <c r="F89" i="1"/>
  <c r="F88" i="1"/>
  <c r="K168" i="2"/>
  <c r="F87" i="1"/>
  <c r="K166" i="2"/>
  <c r="K163" i="2"/>
  <c r="F86" i="1"/>
  <c r="K161" i="2"/>
  <c r="F85" i="1"/>
  <c r="K160" i="2"/>
  <c r="F84" i="1"/>
  <c r="F83" i="1"/>
  <c r="K159" i="2"/>
  <c r="K155" i="2"/>
  <c r="F82" i="1"/>
  <c r="K153" i="2"/>
  <c r="F81" i="1"/>
  <c r="K151" i="2"/>
  <c r="F80" i="1"/>
  <c r="K148" i="2"/>
  <c r="F79" i="1"/>
  <c r="K147" i="2"/>
  <c r="F78" i="1"/>
  <c r="K145" i="2"/>
  <c r="F77" i="1"/>
  <c r="K144" i="2"/>
  <c r="F76" i="1"/>
  <c r="K142" i="2"/>
  <c r="F75" i="1"/>
  <c r="K141" i="2"/>
  <c r="F74" i="1"/>
  <c r="K138" i="2"/>
  <c r="F73" i="1"/>
  <c r="K137" i="2"/>
  <c r="F72" i="1"/>
  <c r="K136" i="2"/>
  <c r="F71" i="1"/>
  <c r="K135" i="2"/>
  <c r="F70" i="1"/>
  <c r="K134" i="2"/>
  <c r="F69" i="1"/>
  <c r="K133" i="2"/>
  <c r="F68" i="1"/>
  <c r="K131" i="2"/>
  <c r="F67" i="1"/>
  <c r="K128" i="2"/>
  <c r="F66" i="1"/>
  <c r="K127" i="2"/>
  <c r="F65" i="1"/>
  <c r="K126" i="2"/>
  <c r="F64" i="1"/>
  <c r="K123" i="2"/>
  <c r="F63" i="1"/>
  <c r="K122" i="2"/>
  <c r="F62" i="1"/>
  <c r="K121" i="2"/>
  <c r="F61" i="1"/>
  <c r="K120" i="2"/>
  <c r="F60" i="1"/>
  <c r="K118" i="2"/>
  <c r="F59" i="1"/>
  <c r="K114" i="2"/>
  <c r="F58" i="1"/>
  <c r="K111" i="2"/>
  <c r="F57" i="1"/>
  <c r="K107" i="2"/>
  <c r="F56" i="1"/>
  <c r="K103" i="2"/>
  <c r="F55" i="1"/>
  <c r="K100" i="2"/>
  <c r="F54" i="1"/>
  <c r="K97" i="2"/>
  <c r="F53" i="1"/>
  <c r="K96" i="2"/>
  <c r="F52" i="1"/>
  <c r="K94" i="2"/>
  <c r="F51" i="1"/>
  <c r="K93" i="2"/>
  <c r="F50" i="1"/>
  <c r="K92" i="2"/>
  <c r="F49" i="1"/>
  <c r="K89" i="2"/>
  <c r="F48" i="1"/>
  <c r="K88" i="2"/>
  <c r="F47" i="1"/>
  <c r="K87" i="2"/>
  <c r="F46" i="1"/>
  <c r="K85" i="2"/>
  <c r="F45" i="1"/>
  <c r="K84" i="2"/>
  <c r="F44" i="1"/>
  <c r="K82" i="2"/>
  <c r="F43" i="1"/>
  <c r="K81" i="2"/>
  <c r="F42" i="1"/>
  <c r="K79" i="2"/>
  <c r="F41" i="1"/>
  <c r="K76" i="2"/>
  <c r="F40" i="1"/>
  <c r="K73" i="2"/>
  <c r="F39" i="1"/>
  <c r="K71" i="2"/>
  <c r="F38" i="1"/>
  <c r="K70" i="2"/>
  <c r="F37" i="1"/>
  <c r="K69" i="2"/>
  <c r="F36" i="1"/>
  <c r="K68" i="2"/>
  <c r="F35" i="1"/>
  <c r="K64" i="2"/>
  <c r="F34" i="1"/>
  <c r="K62" i="2"/>
  <c r="F33" i="1"/>
  <c r="K60" i="2"/>
  <c r="F32" i="1"/>
  <c r="K57" i="2"/>
  <c r="F31" i="1"/>
  <c r="K56" i="2"/>
  <c r="F30" i="1"/>
  <c r="K54" i="2"/>
  <c r="F29" i="1"/>
  <c r="K52" i="2"/>
  <c r="F28" i="1"/>
  <c r="K48" i="2"/>
  <c r="F27" i="1"/>
  <c r="K46" i="2"/>
  <c r="F26" i="1"/>
  <c r="K42" i="2"/>
  <c r="F25" i="1"/>
  <c r="K39" i="2"/>
  <c r="F24" i="1"/>
  <c r="K37" i="2"/>
  <c r="F23" i="1"/>
  <c r="K35" i="2"/>
  <c r="F22" i="1"/>
  <c r="K33" i="2"/>
  <c r="F21" i="1"/>
  <c r="K31" i="2"/>
  <c r="F20" i="1"/>
  <c r="K30" i="2"/>
  <c r="F19" i="1"/>
  <c r="K27" i="2"/>
  <c r="F18" i="1"/>
  <c r="K26" i="2"/>
  <c r="F17" i="1"/>
  <c r="K25" i="2"/>
  <c r="F16" i="1"/>
  <c r="K23" i="2"/>
  <c r="F15" i="1"/>
  <c r="K22" i="2"/>
  <c r="F14" i="1"/>
  <c r="K20" i="2"/>
  <c r="F13" i="1"/>
  <c r="K18" i="2"/>
  <c r="F12" i="1"/>
  <c r="K17" i="2"/>
  <c r="F11" i="1"/>
  <c r="K14" i="2"/>
  <c r="F10" i="1"/>
  <c r="K12" i="2"/>
  <c r="F9" i="1"/>
  <c r="K11" i="2"/>
  <c r="F8" i="1"/>
  <c r="K9" i="2"/>
  <c r="F7" i="1"/>
  <c r="K8" i="2"/>
  <c r="F6" i="1"/>
  <c r="K6" i="2"/>
  <c r="F5" i="1"/>
  <c r="K5" i="2"/>
  <c r="F4" i="1"/>
  <c r="K4" i="2"/>
  <c r="F3" i="1"/>
  <c r="K2" i="2"/>
  <c r="F2" i="1"/>
</calcChain>
</file>

<file path=xl/sharedStrings.xml><?xml version="1.0" encoding="utf-8"?>
<sst xmlns="http://schemas.openxmlformats.org/spreadsheetml/2006/main" count="3392" uniqueCount="922">
  <si>
    <t>OrderID</t>
  </si>
  <si>
    <t>OrderDate</t>
  </si>
  <si>
    <t>CustomerID</t>
  </si>
  <si>
    <t>Status</t>
  </si>
  <si>
    <t>TotalAmount (€)</t>
  </si>
  <si>
    <t>TotalMargin (€)</t>
  </si>
  <si>
    <t>OBJ-10001</t>
  </si>
  <si>
    <t>CUST1065</t>
  </si>
  <si>
    <t>Zrušená</t>
  </si>
  <si>
    <t>OBJ-10002</t>
  </si>
  <si>
    <t>CUST1050</t>
  </si>
  <si>
    <t>Doručená</t>
  </si>
  <si>
    <t>OBJ-10003</t>
  </si>
  <si>
    <t>CUST1015</t>
  </si>
  <si>
    <t>Odoslaná</t>
  </si>
  <si>
    <t>OBJ-10004</t>
  </si>
  <si>
    <t>CUST1012</t>
  </si>
  <si>
    <t>OBJ-10005</t>
  </si>
  <si>
    <t>CUST1045</t>
  </si>
  <si>
    <t>OBJ-10006</t>
  </si>
  <si>
    <t>CUST1049</t>
  </si>
  <si>
    <t>OBJ-10007</t>
  </si>
  <si>
    <t>CUST1033</t>
  </si>
  <si>
    <t>OBJ-10008</t>
  </si>
  <si>
    <t>OBJ-10009</t>
  </si>
  <si>
    <t>CUST1009</t>
  </si>
  <si>
    <t>OBJ-10010</t>
  </si>
  <si>
    <t>CUST1034</t>
  </si>
  <si>
    <t>OBJ-10011</t>
  </si>
  <si>
    <t>CUST1023</t>
  </si>
  <si>
    <t>OBJ-10012</t>
  </si>
  <si>
    <t>CUST1032</t>
  </si>
  <si>
    <t>OBJ-10013</t>
  </si>
  <si>
    <t>CUST1055</t>
  </si>
  <si>
    <t>Spracováva sa</t>
  </si>
  <si>
    <t>OBJ-10014</t>
  </si>
  <si>
    <t>CUST1029</t>
  </si>
  <si>
    <t>OBJ-10015</t>
  </si>
  <si>
    <t>OBJ-10016</t>
  </si>
  <si>
    <t>CUST1036</t>
  </si>
  <si>
    <t>OBJ-10017</t>
  </si>
  <si>
    <t>CUST1042</t>
  </si>
  <si>
    <t>OBJ-10018</t>
  </si>
  <si>
    <t>CUST1000</t>
  </si>
  <si>
    <t>OBJ-10019</t>
  </si>
  <si>
    <t>CUST1038</t>
  </si>
  <si>
    <t>OBJ-10020</t>
  </si>
  <si>
    <t>CUST1041</t>
  </si>
  <si>
    <t>OBJ-10021</t>
  </si>
  <si>
    <t>CUST1064</t>
  </si>
  <si>
    <t>OBJ-10022</t>
  </si>
  <si>
    <t>OBJ-10023</t>
  </si>
  <si>
    <t>CUST1031</t>
  </si>
  <si>
    <t>OBJ-10024</t>
  </si>
  <si>
    <t>CUST1030</t>
  </si>
  <si>
    <t>OBJ-10025</t>
  </si>
  <si>
    <t>OBJ-10026</t>
  </si>
  <si>
    <t>CUST1059</t>
  </si>
  <si>
    <t>OBJ-10027</t>
  </si>
  <si>
    <t>CUST1026</t>
  </si>
  <si>
    <t>OBJ-10028</t>
  </si>
  <si>
    <t>CUST1046</t>
  </si>
  <si>
    <t>OBJ-10029</t>
  </si>
  <si>
    <t>CUST1018</t>
  </si>
  <si>
    <t>OBJ-10030</t>
  </si>
  <si>
    <t>OBJ-10031</t>
  </si>
  <si>
    <t>CUST1006</t>
  </si>
  <si>
    <t>OBJ-10032</t>
  </si>
  <si>
    <t>CUST1047</t>
  </si>
  <si>
    <t>OBJ-10033</t>
  </si>
  <si>
    <t>CUST1017</t>
  </si>
  <si>
    <t>OBJ-10034</t>
  </si>
  <si>
    <t>OBJ-10035</t>
  </si>
  <si>
    <t>CUST1028</t>
  </si>
  <si>
    <t>Vrátená</t>
  </si>
  <si>
    <t>OBJ-10036</t>
  </si>
  <si>
    <t>CUST1022</t>
  </si>
  <si>
    <t>OBJ-10037</t>
  </si>
  <si>
    <t>CUST1002</t>
  </si>
  <si>
    <t>OBJ-10038</t>
  </si>
  <si>
    <t>CUST1016</t>
  </si>
  <si>
    <t>OBJ-10039</t>
  </si>
  <si>
    <t>OBJ-10040</t>
  </si>
  <si>
    <t>OBJ-10041</t>
  </si>
  <si>
    <t>CUST1058</t>
  </si>
  <si>
    <t>OBJ-10042</t>
  </si>
  <si>
    <t>OBJ-10043</t>
  </si>
  <si>
    <t>OBJ-10044</t>
  </si>
  <si>
    <t>CUST1040</t>
  </si>
  <si>
    <t>OBJ-10045</t>
  </si>
  <si>
    <t>CUST1053</t>
  </si>
  <si>
    <t>OBJ-10046</t>
  </si>
  <si>
    <t>CUST1043</t>
  </si>
  <si>
    <t>OBJ-10047</t>
  </si>
  <si>
    <t>OBJ-10048</t>
  </si>
  <si>
    <t>OBJ-10049</t>
  </si>
  <si>
    <t>OBJ-10050</t>
  </si>
  <si>
    <t>CUST1010</t>
  </si>
  <si>
    <t>OBJ-10051</t>
  </si>
  <si>
    <t>OBJ-10052</t>
  </si>
  <si>
    <t>OBJ-10053</t>
  </si>
  <si>
    <t>CUST1060</t>
  </si>
  <si>
    <t>OBJ-10054</t>
  </si>
  <si>
    <t>CUST1077</t>
  </si>
  <si>
    <t>OBJ-10055</t>
  </si>
  <si>
    <t>CUST1003</t>
  </si>
  <si>
    <t>OBJ-10056</t>
  </si>
  <si>
    <t>OBJ-10057</t>
  </si>
  <si>
    <t>OBJ-10058</t>
  </si>
  <si>
    <t>CUST1068</t>
  </si>
  <si>
    <t>OBJ-10059</t>
  </si>
  <si>
    <t>CUST1019</t>
  </si>
  <si>
    <t>OBJ-10060</t>
  </si>
  <si>
    <t>OBJ-10061</t>
  </si>
  <si>
    <t>CUST1057</t>
  </si>
  <si>
    <t>OBJ-10062</t>
  </si>
  <si>
    <t>CUST1074</t>
  </si>
  <si>
    <t>OBJ-10063</t>
  </si>
  <si>
    <t>CUST1004</t>
  </si>
  <si>
    <t>OBJ-10064</t>
  </si>
  <si>
    <t>OBJ-10065</t>
  </si>
  <si>
    <t>CUST1063</t>
  </si>
  <si>
    <t>OBJ-10066</t>
  </si>
  <si>
    <t>CUST1039</t>
  </si>
  <si>
    <t>OBJ-10067</t>
  </si>
  <si>
    <t>CUST1025</t>
  </si>
  <si>
    <t>OBJ-10068</t>
  </si>
  <si>
    <t>CUST1051</t>
  </si>
  <si>
    <t>OBJ-10069</t>
  </si>
  <si>
    <t>OBJ-10070</t>
  </si>
  <si>
    <t>CUST1020</t>
  </si>
  <si>
    <t>OBJ-10071</t>
  </si>
  <si>
    <t>OBJ-10072</t>
  </si>
  <si>
    <t>OBJ-10073</t>
  </si>
  <si>
    <t>CUST1066</t>
  </si>
  <si>
    <t>OBJ-10074</t>
  </si>
  <si>
    <t>CUST1071</t>
  </si>
  <si>
    <t>OBJ-10075</t>
  </si>
  <si>
    <t>OBJ-10076</t>
  </si>
  <si>
    <t>OBJ-10077</t>
  </si>
  <si>
    <t>CUST1056</t>
  </si>
  <si>
    <t>OBJ-10078</t>
  </si>
  <si>
    <t>OBJ-10079</t>
  </si>
  <si>
    <t>CUST1062</t>
  </si>
  <si>
    <t>OBJ-10080</t>
  </si>
  <si>
    <t>CUST1078</t>
  </si>
  <si>
    <t>OBJ-10081</t>
  </si>
  <si>
    <t>OBJ-10082</t>
  </si>
  <si>
    <t>CUST1013</t>
  </si>
  <si>
    <t>OBJ-10083</t>
  </si>
  <si>
    <t>CUST1073</t>
  </si>
  <si>
    <t>OBJ-10084</t>
  </si>
  <si>
    <t>OBJ-10085</t>
  </si>
  <si>
    <t>CUST1037</t>
  </si>
  <si>
    <t>OBJ-10086</t>
  </si>
  <si>
    <t>OBJ-10087</t>
  </si>
  <si>
    <t>OBJ-10088</t>
  </si>
  <si>
    <t>OBJ-10089</t>
  </si>
  <si>
    <t>OBJ-10090</t>
  </si>
  <si>
    <t>OBJ-10091</t>
  </si>
  <si>
    <t>CUST1061</t>
  </si>
  <si>
    <t>OBJ-10092</t>
  </si>
  <si>
    <t>OBJ-10093</t>
  </si>
  <si>
    <t>OBJ-10094</t>
  </si>
  <si>
    <t>CUST1076</t>
  </si>
  <si>
    <t>OBJ-10095</t>
  </si>
  <si>
    <t>OBJ-10096</t>
  </si>
  <si>
    <t>OBJ-10097</t>
  </si>
  <si>
    <t>OBJ-10098</t>
  </si>
  <si>
    <t>CUST1008</t>
  </si>
  <si>
    <t>OBJ-10099</t>
  </si>
  <si>
    <t>CUST1014</t>
  </si>
  <si>
    <t>OBJ-10100</t>
  </si>
  <si>
    <t>OBJ-10101</t>
  </si>
  <si>
    <t>OBJ-10102</t>
  </si>
  <si>
    <t>CUST1072</t>
  </si>
  <si>
    <t>OBJ-10103</t>
  </si>
  <si>
    <t>OBJ-10104</t>
  </si>
  <si>
    <t>OBJ-10105</t>
  </si>
  <si>
    <t>OBJ-10106</t>
  </si>
  <si>
    <t>OBJ-10107</t>
  </si>
  <si>
    <t>OBJ-10108</t>
  </si>
  <si>
    <t>OBJ-10109</t>
  </si>
  <si>
    <t>CUST1079</t>
  </si>
  <si>
    <t>OBJ-10110</t>
  </si>
  <si>
    <t>OBJ-10111</t>
  </si>
  <si>
    <t>OBJ-10112</t>
  </si>
  <si>
    <t>OBJ-10113</t>
  </si>
  <si>
    <t>OBJ-10114</t>
  </si>
  <si>
    <t>OBJ-10115</t>
  </si>
  <si>
    <t>OBJ-10116</t>
  </si>
  <si>
    <t>OBJ-10117</t>
  </si>
  <si>
    <t>OBJ-10118</t>
  </si>
  <si>
    <t>OBJ-10119</t>
  </si>
  <si>
    <t>OBJ-10120</t>
  </si>
  <si>
    <t>OBJ-10121</t>
  </si>
  <si>
    <t>OBJ-10122</t>
  </si>
  <si>
    <t>OBJ-10123</t>
  </si>
  <si>
    <t>OBJ-10124</t>
  </si>
  <si>
    <t>OBJ-10125</t>
  </si>
  <si>
    <t>OBJ-10126</t>
  </si>
  <si>
    <t>OBJ-10127</t>
  </si>
  <si>
    <t>OBJ-10128</t>
  </si>
  <si>
    <t>OBJ-10129</t>
  </si>
  <si>
    <t>OBJ-10130</t>
  </si>
  <si>
    <t>CUST1070</t>
  </si>
  <si>
    <t>OBJ-10131</t>
  </si>
  <si>
    <t>OBJ-10132</t>
  </si>
  <si>
    <t>OBJ-10133</t>
  </si>
  <si>
    <t>OBJ-10134</t>
  </si>
  <si>
    <t>CUST1027</t>
  </si>
  <si>
    <t>OBJ-10135</t>
  </si>
  <si>
    <t>OBJ-10136</t>
  </si>
  <si>
    <t>CUST1005</t>
  </si>
  <si>
    <t>OBJ-10137</t>
  </si>
  <si>
    <t>OBJ-10138</t>
  </si>
  <si>
    <t>CUST1001</t>
  </si>
  <si>
    <t>OBJ-10139</t>
  </si>
  <si>
    <t>OBJ-10140</t>
  </si>
  <si>
    <t>OBJ-10141</t>
  </si>
  <si>
    <t>OBJ-10142</t>
  </si>
  <si>
    <t>OBJ-10143</t>
  </si>
  <si>
    <t>OBJ-10144</t>
  </si>
  <si>
    <t>OBJ-10145</t>
  </si>
  <si>
    <t>OBJ-10146</t>
  </si>
  <si>
    <t>OBJ-10147</t>
  </si>
  <si>
    <t>CUST1069</t>
  </si>
  <si>
    <t>OBJ-10148</t>
  </si>
  <si>
    <t>OBJ-10149</t>
  </si>
  <si>
    <t>OBJ-10150</t>
  </si>
  <si>
    <t>OBJ-10151</t>
  </si>
  <si>
    <t>OBJ-10152</t>
  </si>
  <si>
    <t>OBJ-10153</t>
  </si>
  <si>
    <t>OBJ-10154</t>
  </si>
  <si>
    <t>OBJ-10155</t>
  </si>
  <si>
    <t>OBJ-10156</t>
  </si>
  <si>
    <t>OBJ-10157</t>
  </si>
  <si>
    <t>OBJ-10158</t>
  </si>
  <si>
    <t>OBJ-10159</t>
  </si>
  <si>
    <t>OBJ-10160</t>
  </si>
  <si>
    <t>OBJ-10161</t>
  </si>
  <si>
    <t>OBJ-10162</t>
  </si>
  <si>
    <t>OBJ-10163</t>
  </si>
  <si>
    <t>OBJ-10164</t>
  </si>
  <si>
    <t>OBJ-10165</t>
  </si>
  <si>
    <t>OBJ-10166</t>
  </si>
  <si>
    <t>CUST1052</t>
  </si>
  <si>
    <t>OBJ-10167</t>
  </si>
  <si>
    <t>OBJ-10168</t>
  </si>
  <si>
    <t>OBJ-10169</t>
  </si>
  <si>
    <t>CUST1007</t>
  </si>
  <si>
    <t>OBJ-10170</t>
  </si>
  <si>
    <t>OBJ-10171</t>
  </si>
  <si>
    <t>OBJ-10172</t>
  </si>
  <si>
    <t>OBJ-10173</t>
  </si>
  <si>
    <t>CUST1024</t>
  </si>
  <si>
    <t>OBJ-10174</t>
  </si>
  <si>
    <t>OBJ-10175</t>
  </si>
  <si>
    <t>CUST1075</t>
  </si>
  <si>
    <t>OBJ-10176</t>
  </si>
  <si>
    <t>OBJ-10177</t>
  </si>
  <si>
    <t>OBJ-10178</t>
  </si>
  <si>
    <t>OBJ-10179</t>
  </si>
  <si>
    <t>OBJ-10180</t>
  </si>
  <si>
    <t>OBJ-10181</t>
  </si>
  <si>
    <t>CUST1021</t>
  </si>
  <si>
    <t>OBJ-10182</t>
  </si>
  <si>
    <t>CUST1011</t>
  </si>
  <si>
    <t>OBJ-10183</t>
  </si>
  <si>
    <t>OBJ-10184</t>
  </si>
  <si>
    <t>OBJ-10185</t>
  </si>
  <si>
    <t>OBJ-10186</t>
  </si>
  <si>
    <t>OBJ-10187</t>
  </si>
  <si>
    <t>CUST1035</t>
  </si>
  <si>
    <t>OBJ-10188</t>
  </si>
  <si>
    <t>OBJ-10189</t>
  </si>
  <si>
    <t>OBJ-10190</t>
  </si>
  <si>
    <t>OBJ-10191</t>
  </si>
  <si>
    <t>OBJ-10192</t>
  </si>
  <si>
    <t>OBJ-10193</t>
  </si>
  <si>
    <t>OBJ-10194</t>
  </si>
  <si>
    <t>CUST1044</t>
  </si>
  <si>
    <t>OBJ-10195</t>
  </si>
  <si>
    <t>OBJ-10196</t>
  </si>
  <si>
    <t>OBJ-10197</t>
  </si>
  <si>
    <t>OBJ-10198</t>
  </si>
  <si>
    <t>OBJ-10199</t>
  </si>
  <si>
    <t>OBJ-10200</t>
  </si>
  <si>
    <t>OrderDetailID</t>
  </si>
  <si>
    <t>ProductID</t>
  </si>
  <si>
    <t>Quantity</t>
  </si>
  <si>
    <t>OriginalPrice (€)</t>
  </si>
  <si>
    <t>DiscountPct</t>
  </si>
  <si>
    <t>SalePrice (€)</t>
  </si>
  <si>
    <t>Cost (€)</t>
  </si>
  <si>
    <t>LineTotal (€)</t>
  </si>
  <si>
    <t>MarginEUR (€)</t>
  </si>
  <si>
    <t>MarginPct</t>
  </si>
  <si>
    <t>ReturnReason</t>
  </si>
  <si>
    <t>OD00001</t>
  </si>
  <si>
    <t>PRD017</t>
  </si>
  <si>
    <t>OD00002</t>
  </si>
  <si>
    <t>PRD036</t>
  </si>
  <si>
    <t>OD00003</t>
  </si>
  <si>
    <t>PRD005</t>
  </si>
  <si>
    <t>OD00004</t>
  </si>
  <si>
    <t>PRD009</t>
  </si>
  <si>
    <t>OD00005</t>
  </si>
  <si>
    <t>PRD015</t>
  </si>
  <si>
    <t>OD00006</t>
  </si>
  <si>
    <t>PRD011</t>
  </si>
  <si>
    <t>OD00007</t>
  </si>
  <si>
    <t>OD00008</t>
  </si>
  <si>
    <t>OD00009</t>
  </si>
  <si>
    <t>PRD008</t>
  </si>
  <si>
    <t>OD00010</t>
  </si>
  <si>
    <t>PRD049</t>
  </si>
  <si>
    <t>OD00011</t>
  </si>
  <si>
    <t>PRD032</t>
  </si>
  <si>
    <t>OD00012</t>
  </si>
  <si>
    <t>PRD045</t>
  </si>
  <si>
    <t>OD00013</t>
  </si>
  <si>
    <t>PRD006</t>
  </si>
  <si>
    <t>OD00014</t>
  </si>
  <si>
    <t>PRD039</t>
  </si>
  <si>
    <t>OD00015</t>
  </si>
  <si>
    <t>OD00016</t>
  </si>
  <si>
    <t>OD00017</t>
  </si>
  <si>
    <t>PRD014</t>
  </si>
  <si>
    <t>OD00018</t>
  </si>
  <si>
    <t>PRD019</t>
  </si>
  <si>
    <t>OD00019</t>
  </si>
  <si>
    <t>PRD013</t>
  </si>
  <si>
    <t>OD00020</t>
  </si>
  <si>
    <t>PRD033</t>
  </si>
  <si>
    <t>OD00021</t>
  </si>
  <si>
    <t>OD00022</t>
  </si>
  <si>
    <t>PRD041</t>
  </si>
  <si>
    <t>OD00023</t>
  </si>
  <si>
    <t>OD00024</t>
  </si>
  <si>
    <t>PRD025</t>
  </si>
  <si>
    <t>OD00025</t>
  </si>
  <si>
    <t>PRD018</t>
  </si>
  <si>
    <t>OD00026</t>
  </si>
  <si>
    <t>OD00027</t>
  </si>
  <si>
    <t>PRD023</t>
  </si>
  <si>
    <t>OD00028</t>
  </si>
  <si>
    <t>PRD012</t>
  </si>
  <si>
    <t>OD00029</t>
  </si>
  <si>
    <t>PRD038</t>
  </si>
  <si>
    <t>OD00030</t>
  </si>
  <si>
    <t>OD00031</t>
  </si>
  <si>
    <t>PRD010</t>
  </si>
  <si>
    <t>OD00032</t>
  </si>
  <si>
    <t>OD00033</t>
  </si>
  <si>
    <t>PRD003</t>
  </si>
  <si>
    <t>OD00034</t>
  </si>
  <si>
    <t>PRD002</t>
  </si>
  <si>
    <t>OD00035</t>
  </si>
  <si>
    <t>PRD044</t>
  </si>
  <si>
    <t>OD00036</t>
  </si>
  <si>
    <t>PRD007</t>
  </si>
  <si>
    <t>OD00037</t>
  </si>
  <si>
    <t>OD00038</t>
  </si>
  <si>
    <t>PRD048</t>
  </si>
  <si>
    <t>OD00039</t>
  </si>
  <si>
    <t>OD00040</t>
  </si>
  <si>
    <t>PRD035</t>
  </si>
  <si>
    <t>OD00041</t>
  </si>
  <si>
    <t>OD00042</t>
  </si>
  <si>
    <t>OD00043</t>
  </si>
  <si>
    <t>OD00044</t>
  </si>
  <si>
    <t>PRD031</t>
  </si>
  <si>
    <t>OD00045</t>
  </si>
  <si>
    <t>OD00046</t>
  </si>
  <si>
    <t>OD00047</t>
  </si>
  <si>
    <t>OD00048</t>
  </si>
  <si>
    <t>OD00049</t>
  </si>
  <si>
    <t>PRD020</t>
  </si>
  <si>
    <t>OD00050</t>
  </si>
  <si>
    <t>OD00051</t>
  </si>
  <si>
    <t>OD00052</t>
  </si>
  <si>
    <t>PRD024</t>
  </si>
  <si>
    <t>OD00053</t>
  </si>
  <si>
    <t>OD00054</t>
  </si>
  <si>
    <t>OD00055</t>
  </si>
  <si>
    <t>PRD022</t>
  </si>
  <si>
    <t>OD00056</t>
  </si>
  <si>
    <t>OD00057</t>
  </si>
  <si>
    <t>OD00058</t>
  </si>
  <si>
    <t>OD00059</t>
  </si>
  <si>
    <t>OD00060</t>
  </si>
  <si>
    <t>OD00061</t>
  </si>
  <si>
    <t>OD00062</t>
  </si>
  <si>
    <t>OD00063</t>
  </si>
  <si>
    <t>OD00064</t>
  </si>
  <si>
    <t>OD00065</t>
  </si>
  <si>
    <t>OD00066</t>
  </si>
  <si>
    <t>PRD027</t>
  </si>
  <si>
    <t>OD00067</t>
  </si>
  <si>
    <t>OD00068</t>
  </si>
  <si>
    <t>OD00069</t>
  </si>
  <si>
    <t>OD00070</t>
  </si>
  <si>
    <t>OD00071</t>
  </si>
  <si>
    <t>OD00072</t>
  </si>
  <si>
    <t>OD00073</t>
  </si>
  <si>
    <t>OD00074</t>
  </si>
  <si>
    <t>OD00075</t>
  </si>
  <si>
    <t>OD00076</t>
  </si>
  <si>
    <t>OD00077</t>
  </si>
  <si>
    <t>OD00078</t>
  </si>
  <si>
    <t>OD00079</t>
  </si>
  <si>
    <t>OD00080</t>
  </si>
  <si>
    <t>OD00081</t>
  </si>
  <si>
    <t>OD00082</t>
  </si>
  <si>
    <t>OD00083</t>
  </si>
  <si>
    <t>OD00084</t>
  </si>
  <si>
    <t>OD00085</t>
  </si>
  <si>
    <t>OD00086</t>
  </si>
  <si>
    <t>OD00087</t>
  </si>
  <si>
    <t>OD00088</t>
  </si>
  <si>
    <t>OD00089</t>
  </si>
  <si>
    <t>PRD030</t>
  </si>
  <si>
    <t>OD00090</t>
  </si>
  <si>
    <t>OD00091</t>
  </si>
  <si>
    <t>OD00092</t>
  </si>
  <si>
    <t>PRD046</t>
  </si>
  <si>
    <t>OD00093</t>
  </si>
  <si>
    <t>PRD034</t>
  </si>
  <si>
    <t>OD00094</t>
  </si>
  <si>
    <t>OD00095</t>
  </si>
  <si>
    <t>OD00096</t>
  </si>
  <si>
    <t>PRD028</t>
  </si>
  <si>
    <t>OD00097</t>
  </si>
  <si>
    <t>OD00098</t>
  </si>
  <si>
    <t>PRD004</t>
  </si>
  <si>
    <t>OD00099</t>
  </si>
  <si>
    <t>PRD050</t>
  </si>
  <si>
    <t>OD00100</t>
  </si>
  <si>
    <t>PRD026</t>
  </si>
  <si>
    <t>OD00101</t>
  </si>
  <si>
    <t>OD00102</t>
  </si>
  <si>
    <t>PRD040</t>
  </si>
  <si>
    <t>OD00103</t>
  </si>
  <si>
    <t>OD00104</t>
  </si>
  <si>
    <t>OD00105</t>
  </si>
  <si>
    <t>OD00106</t>
  </si>
  <si>
    <t>OD00107</t>
  </si>
  <si>
    <t>OD00108</t>
  </si>
  <si>
    <t>OD00109</t>
  </si>
  <si>
    <t>OD00110</t>
  </si>
  <si>
    <t>OD00111</t>
  </si>
  <si>
    <t>OD00112</t>
  </si>
  <si>
    <t>OD00113</t>
  </si>
  <si>
    <t>OD00114</t>
  </si>
  <si>
    <t>OD00115</t>
  </si>
  <si>
    <t>OD00116</t>
  </si>
  <si>
    <t>OD00117</t>
  </si>
  <si>
    <t>OD00118</t>
  </si>
  <si>
    <t>OD00119</t>
  </si>
  <si>
    <t>OD00120</t>
  </si>
  <si>
    <t>PRD001</t>
  </si>
  <si>
    <t>OD00121</t>
  </si>
  <si>
    <t>OD00122</t>
  </si>
  <si>
    <t>PRD029</t>
  </si>
  <si>
    <t>OD00123</t>
  </si>
  <si>
    <t>OD00124</t>
  </si>
  <si>
    <t>OD00125</t>
  </si>
  <si>
    <t>OD00126</t>
  </si>
  <si>
    <t>OD00127</t>
  </si>
  <si>
    <t>PRD043</t>
  </si>
  <si>
    <t>OD00128</t>
  </si>
  <si>
    <t>OD00129</t>
  </si>
  <si>
    <t>OD00130</t>
  </si>
  <si>
    <t>OD00131</t>
  </si>
  <si>
    <t>OD00132</t>
  </si>
  <si>
    <t>OD00133</t>
  </si>
  <si>
    <t>OD00134</t>
  </si>
  <si>
    <t>OD00135</t>
  </si>
  <si>
    <t>OD00136</t>
  </si>
  <si>
    <t>OD00137</t>
  </si>
  <si>
    <t>OD00138</t>
  </si>
  <si>
    <t>OD00139</t>
  </si>
  <si>
    <t>OD00140</t>
  </si>
  <si>
    <t>PRD047</t>
  </si>
  <si>
    <t>OD00141</t>
  </si>
  <si>
    <t>OD00142</t>
  </si>
  <si>
    <t>OD00143</t>
  </si>
  <si>
    <t>OD00144</t>
  </si>
  <si>
    <t>OD00145</t>
  </si>
  <si>
    <t>OD00146</t>
  </si>
  <si>
    <t>OD00147</t>
  </si>
  <si>
    <t>PRD042</t>
  </si>
  <si>
    <t>OD00148</t>
  </si>
  <si>
    <t>OD00149</t>
  </si>
  <si>
    <t>OD00150</t>
  </si>
  <si>
    <t>OD00151</t>
  </si>
  <si>
    <t>OD00152</t>
  </si>
  <si>
    <t>OD00153</t>
  </si>
  <si>
    <t>OD00154</t>
  </si>
  <si>
    <t>OD00155</t>
  </si>
  <si>
    <t>PRD021</t>
  </si>
  <si>
    <t>OD00156</t>
  </si>
  <si>
    <t>OD00157</t>
  </si>
  <si>
    <t>OD00158</t>
  </si>
  <si>
    <t>OD00159</t>
  </si>
  <si>
    <t>OD00160</t>
  </si>
  <si>
    <t>OD00161</t>
  </si>
  <si>
    <t>OD00162</t>
  </si>
  <si>
    <t>OD00163</t>
  </si>
  <si>
    <t>OD00164</t>
  </si>
  <si>
    <t>OD00165</t>
  </si>
  <si>
    <t>OD00166</t>
  </si>
  <si>
    <t>OD00167</t>
  </si>
  <si>
    <t>OD00168</t>
  </si>
  <si>
    <t>OD00169</t>
  </si>
  <si>
    <t>OD00170</t>
  </si>
  <si>
    <t>PRD016</t>
  </si>
  <si>
    <t>OD00171</t>
  </si>
  <si>
    <t>OD00172</t>
  </si>
  <si>
    <t>OD00173</t>
  </si>
  <si>
    <t>OD00174</t>
  </si>
  <si>
    <t>OD00175</t>
  </si>
  <si>
    <t>OD00176</t>
  </si>
  <si>
    <t>OD00177</t>
  </si>
  <si>
    <t>OD00178</t>
  </si>
  <si>
    <t>OD00179</t>
  </si>
  <si>
    <t>OD00180</t>
  </si>
  <si>
    <t>OD00181</t>
  </si>
  <si>
    <t>OD00182</t>
  </si>
  <si>
    <t>OD00183</t>
  </si>
  <si>
    <t>OD00184</t>
  </si>
  <si>
    <t>OD00185</t>
  </si>
  <si>
    <t>OD00186</t>
  </si>
  <si>
    <t>OD00187</t>
  </si>
  <si>
    <t>OD00188</t>
  </si>
  <si>
    <t>OD00189</t>
  </si>
  <si>
    <t>OD00190</t>
  </si>
  <si>
    <t>OD00191</t>
  </si>
  <si>
    <t>OD00192</t>
  </si>
  <si>
    <t>OD00193</t>
  </si>
  <si>
    <t>OD00194</t>
  </si>
  <si>
    <t>OD00195</t>
  </si>
  <si>
    <t>OD00196</t>
  </si>
  <si>
    <t>OD00197</t>
  </si>
  <si>
    <t>OD00198</t>
  </si>
  <si>
    <t>OD00199</t>
  </si>
  <si>
    <t>OD00200</t>
  </si>
  <si>
    <t>OD00201</t>
  </si>
  <si>
    <t>OD00202</t>
  </si>
  <si>
    <t>OD00203</t>
  </si>
  <si>
    <t>OD00204</t>
  </si>
  <si>
    <t>OD00205</t>
  </si>
  <si>
    <t>OD00206</t>
  </si>
  <si>
    <t>OD00207</t>
  </si>
  <si>
    <t>OD00208</t>
  </si>
  <si>
    <t>OD00209</t>
  </si>
  <si>
    <t>OD00210</t>
  </si>
  <si>
    <t>OD00211</t>
  </si>
  <si>
    <t>OD00212</t>
  </si>
  <si>
    <t>OD00213</t>
  </si>
  <si>
    <t>OD00214</t>
  </si>
  <si>
    <t>OD00215</t>
  </si>
  <si>
    <t>OD00216</t>
  </si>
  <si>
    <t>OD00217</t>
  </si>
  <si>
    <t>OD00218</t>
  </si>
  <si>
    <t>OD00219</t>
  </si>
  <si>
    <t>OD00220</t>
  </si>
  <si>
    <t>OD00221</t>
  </si>
  <si>
    <t>OD00222</t>
  </si>
  <si>
    <t>OD00223</t>
  </si>
  <si>
    <t>OD00224</t>
  </si>
  <si>
    <t>OD00225</t>
  </si>
  <si>
    <t>OD00226</t>
  </si>
  <si>
    <t>OD00227</t>
  </si>
  <si>
    <t>OD00228</t>
  </si>
  <si>
    <t>OD00229</t>
  </si>
  <si>
    <t>OD00230</t>
  </si>
  <si>
    <t>OD00231</t>
  </si>
  <si>
    <t>OD00232</t>
  </si>
  <si>
    <t>OD00233</t>
  </si>
  <si>
    <t>OD00234</t>
  </si>
  <si>
    <t>OD00235</t>
  </si>
  <si>
    <t>OD00236</t>
  </si>
  <si>
    <t>OD00237</t>
  </si>
  <si>
    <t>OD00238</t>
  </si>
  <si>
    <t>OD00239</t>
  </si>
  <si>
    <t>OD00240</t>
  </si>
  <si>
    <t>OD00241</t>
  </si>
  <si>
    <t>OD00242</t>
  </si>
  <si>
    <t>OD00243</t>
  </si>
  <si>
    <t>OD00244</t>
  </si>
  <si>
    <t>OD00245</t>
  </si>
  <si>
    <t>OD00246</t>
  </si>
  <si>
    <t>OD00247</t>
  </si>
  <si>
    <t>OD00248</t>
  </si>
  <si>
    <t>OD00249</t>
  </si>
  <si>
    <t>OD00250</t>
  </si>
  <si>
    <t>PRD037</t>
  </si>
  <si>
    <t>OD00251</t>
  </si>
  <si>
    <t>OD00252</t>
  </si>
  <si>
    <t>OD00253</t>
  </si>
  <si>
    <t>OD00254</t>
  </si>
  <si>
    <t>OD00255</t>
  </si>
  <si>
    <t>OD00256</t>
  </si>
  <si>
    <t>OD00257</t>
  </si>
  <si>
    <t>OD00258</t>
  </si>
  <si>
    <t>OD00259</t>
  </si>
  <si>
    <t>OD00260</t>
  </si>
  <si>
    <t>OD00261</t>
  </si>
  <si>
    <t>OD00262</t>
  </si>
  <si>
    <t>OD00263</t>
  </si>
  <si>
    <t>OD00264</t>
  </si>
  <si>
    <t>OD00265</t>
  </si>
  <si>
    <t>OD00266</t>
  </si>
  <si>
    <t>OD00267</t>
  </si>
  <si>
    <t>OD00268</t>
  </si>
  <si>
    <t>OD00269</t>
  </si>
  <si>
    <t>OD00270</t>
  </si>
  <si>
    <t>OD00271</t>
  </si>
  <si>
    <t>OD00272</t>
  </si>
  <si>
    <t>OD00273</t>
  </si>
  <si>
    <t>OD00274</t>
  </si>
  <si>
    <t>OD00275</t>
  </si>
  <si>
    <t>OD00276</t>
  </si>
  <si>
    <t>OD00277</t>
  </si>
  <si>
    <t>OD00278</t>
  </si>
  <si>
    <t>OD00279</t>
  </si>
  <si>
    <t>OD00280</t>
  </si>
  <si>
    <t>OD00281</t>
  </si>
  <si>
    <t>OD00282</t>
  </si>
  <si>
    <t>OD00283</t>
  </si>
  <si>
    <t>OD00284</t>
  </si>
  <si>
    <t>OD00285</t>
  </si>
  <si>
    <t>OD00286</t>
  </si>
  <si>
    <t>OD00287</t>
  </si>
  <si>
    <t>OD00288</t>
  </si>
  <si>
    <t>OD00289</t>
  </si>
  <si>
    <t>OD00290</t>
  </si>
  <si>
    <t>OD00291</t>
  </si>
  <si>
    <t>OD00292</t>
  </si>
  <si>
    <t>OD00293</t>
  </si>
  <si>
    <t>OD00294</t>
  </si>
  <si>
    <t>OD00295</t>
  </si>
  <si>
    <t>OD00296</t>
  </si>
  <si>
    <t>OD00297</t>
  </si>
  <si>
    <t>OD00298</t>
  </si>
  <si>
    <t>OD00299</t>
  </si>
  <si>
    <t>OD00300</t>
  </si>
  <si>
    <t>OD00301</t>
  </si>
  <si>
    <t>OD00302</t>
  </si>
  <si>
    <t>OD00303</t>
  </si>
  <si>
    <t>OD00304</t>
  </si>
  <si>
    <t>OD00305</t>
  </si>
  <si>
    <t>OD00306</t>
  </si>
  <si>
    <t>OD00307</t>
  </si>
  <si>
    <t>OD00308</t>
  </si>
  <si>
    <t>OD00309</t>
  </si>
  <si>
    <t>OD00310</t>
  </si>
  <si>
    <t>OD00311</t>
  </si>
  <si>
    <t>OD00312</t>
  </si>
  <si>
    <t>OD00313</t>
  </si>
  <si>
    <t>OD00314</t>
  </si>
  <si>
    <t>OD00315</t>
  </si>
  <si>
    <t>OD00316</t>
  </si>
  <si>
    <t>OD00317</t>
  </si>
  <si>
    <t>OD00318</t>
  </si>
  <si>
    <t>OD00319</t>
  </si>
  <si>
    <t>OD00320</t>
  </si>
  <si>
    <t>OD00321</t>
  </si>
  <si>
    <t>OD00322</t>
  </si>
  <si>
    <t>OD00323</t>
  </si>
  <si>
    <t>OD00324</t>
  </si>
  <si>
    <t>OD00325</t>
  </si>
  <si>
    <t>OD00326</t>
  </si>
  <si>
    <t>OD00327</t>
  </si>
  <si>
    <t>OD00328</t>
  </si>
  <si>
    <t>OD00329</t>
  </si>
  <si>
    <t>OD00330</t>
  </si>
  <si>
    <t>OD00331</t>
  </si>
  <si>
    <t>OD00332</t>
  </si>
  <si>
    <t>OD00333</t>
  </si>
  <si>
    <t>OD00334</t>
  </si>
  <si>
    <t>OD00335</t>
  </si>
  <si>
    <t>OD00336</t>
  </si>
  <si>
    <t>OD00337</t>
  </si>
  <si>
    <t>OD00338</t>
  </si>
  <si>
    <t>OD00339</t>
  </si>
  <si>
    <t>OD00340</t>
  </si>
  <si>
    <t>OD00341</t>
  </si>
  <si>
    <t>OD00342</t>
  </si>
  <si>
    <t>OD00343</t>
  </si>
  <si>
    <t>OD00344</t>
  </si>
  <si>
    <t>OD00345</t>
  </si>
  <si>
    <t>OD00346</t>
  </si>
  <si>
    <t>OD00347</t>
  </si>
  <si>
    <t>OD00348</t>
  </si>
  <si>
    <t>OD00349</t>
  </si>
  <si>
    <t>OD00350</t>
  </si>
  <si>
    <t>OD00351</t>
  </si>
  <si>
    <t>OD00352</t>
  </si>
  <si>
    <t>OD00353</t>
  </si>
  <si>
    <t>OD00354</t>
  </si>
  <si>
    <t>OD00355</t>
  </si>
  <si>
    <t>OD00356</t>
  </si>
  <si>
    <t>OD00357</t>
  </si>
  <si>
    <t>OD00358</t>
  </si>
  <si>
    <t>OD00359</t>
  </si>
  <si>
    <t>OD00360</t>
  </si>
  <si>
    <t>OD00361</t>
  </si>
  <si>
    <t>OD00362</t>
  </si>
  <si>
    <t>OD00363</t>
  </si>
  <si>
    <t>OD00364</t>
  </si>
  <si>
    <t>OD00365</t>
  </si>
  <si>
    <t>OD00366</t>
  </si>
  <si>
    <t>OD00367</t>
  </si>
  <si>
    <t>OD00368</t>
  </si>
  <si>
    <t>OD00369</t>
  </si>
  <si>
    <t>OD00370</t>
  </si>
  <si>
    <t>OD00371</t>
  </si>
  <si>
    <t>OD00372</t>
  </si>
  <si>
    <t>OD00373</t>
  </si>
  <si>
    <t>OD00374</t>
  </si>
  <si>
    <t>OD00375</t>
  </si>
  <si>
    <t>OD00376</t>
  </si>
  <si>
    <t>OD00377</t>
  </si>
  <si>
    <t>OD00378</t>
  </si>
  <si>
    <t>OD00379</t>
  </si>
  <si>
    <t>OD00380</t>
  </si>
  <si>
    <t>OD00381</t>
  </si>
  <si>
    <t>OD00382</t>
  </si>
  <si>
    <t>OD00383</t>
  </si>
  <si>
    <t>OD00384</t>
  </si>
  <si>
    <t>OD00385</t>
  </si>
  <si>
    <t>OD00386</t>
  </si>
  <si>
    <t>OD00387</t>
  </si>
  <si>
    <t>OD00388</t>
  </si>
  <si>
    <t>OD00389</t>
  </si>
  <si>
    <t>OD00390</t>
  </si>
  <si>
    <t>OD00391</t>
  </si>
  <si>
    <t>OD00392</t>
  </si>
  <si>
    <t>OD00393</t>
  </si>
  <si>
    <t>ProductName</t>
  </si>
  <si>
    <t>CategoryID</t>
  </si>
  <si>
    <t>RegularPrice (€)</t>
  </si>
  <si>
    <t>Bezdrôtové slúchadlá</t>
  </si>
  <si>
    <t>CAT01</t>
  </si>
  <si>
    <t>Smartfón držiak</t>
  </si>
  <si>
    <t>Powerbanka 10000mAh</t>
  </si>
  <si>
    <t>USB-C kábel</t>
  </si>
  <si>
    <t>Bluetooth reproduktor</t>
  </si>
  <si>
    <t>Smart hodinky</t>
  </si>
  <si>
    <t>Herná myš</t>
  </si>
  <si>
    <t>Klávesnica mechanická</t>
  </si>
  <si>
    <t>Webkamera Full HD</t>
  </si>
  <si>
    <t>Tablet 10palcový</t>
  </si>
  <si>
    <t>Sada nožov</t>
  </si>
  <si>
    <t>CAT02</t>
  </si>
  <si>
    <t>Kuchynské váhy</t>
  </si>
  <si>
    <t>Vankúš dekoratívny</t>
  </si>
  <si>
    <t>Osviežovač vzduchu</t>
  </si>
  <si>
    <t>Sada uterákov</t>
  </si>
  <si>
    <t>LED lampa stolová</t>
  </si>
  <si>
    <t>Mixér ručný</t>
  </si>
  <si>
    <t>Hriankovač</t>
  </si>
  <si>
    <t>Pánske tričko</t>
  </si>
  <si>
    <t>CAT03</t>
  </si>
  <si>
    <t>Dámske šaty letné</t>
  </si>
  <si>
    <t>Zimná bunda</t>
  </si>
  <si>
    <t>Bežecké tenisky</t>
  </si>
  <si>
    <t>Šál pletený</t>
  </si>
  <si>
    <t>Ponožky 3ks</t>
  </si>
  <si>
    <t>Rifle slim fit</t>
  </si>
  <si>
    <t>Mikina s kapucňou</t>
  </si>
  <si>
    <t>Jogamat</t>
  </si>
  <si>
    <t>CAT04</t>
  </si>
  <si>
    <t>Fľaša na vodu 750ml</t>
  </si>
  <si>
    <t>Gumy na cvičenie sada</t>
  </si>
  <si>
    <t>Bicyklová prilba</t>
  </si>
  <si>
    <t>Fitness náramok</t>
  </si>
  <si>
    <t>Kettlebell 8kg</t>
  </si>
  <si>
    <t>Krém na tvár</t>
  </si>
  <si>
    <t>CAT05</t>
  </si>
  <si>
    <t>Šampón bez sulfátov</t>
  </si>
  <si>
    <t>Sada štetcov na mejkap</t>
  </si>
  <si>
    <t>Parfum unisex</t>
  </si>
  <si>
    <t>Telové mlieko</t>
  </si>
  <si>
    <t>Spoločenská hra</t>
  </si>
  <si>
    <t>CAT06</t>
  </si>
  <si>
    <t>Bestseller román</t>
  </si>
  <si>
    <t>Detská knižka</t>
  </si>
  <si>
    <t>Puzzle 1000 dielikov</t>
  </si>
  <si>
    <t>Kartová hra</t>
  </si>
  <si>
    <t>Sada záhradného náradia</t>
  </si>
  <si>
    <t>CAT07</t>
  </si>
  <si>
    <t>Kvetináč keramický</t>
  </si>
  <si>
    <t>Hadica záhradná 20m</t>
  </si>
  <si>
    <t>Semienka zeleniny sada</t>
  </si>
  <si>
    <t>Plyšová hračka medveď</t>
  </si>
  <si>
    <t>CAT08</t>
  </si>
  <si>
    <t>Stavebnica LEGO typ</t>
  </si>
  <si>
    <t>Autíčko na diaľkové ovládanie</t>
  </si>
  <si>
    <t>Bábika s doplnkami</t>
  </si>
  <si>
    <t>CustomerName</t>
  </si>
  <si>
    <t>Segment</t>
  </si>
  <si>
    <t>Country</t>
  </si>
  <si>
    <t>Eva Tóth</t>
  </si>
  <si>
    <t>Consumer</t>
  </si>
  <si>
    <t>Slovensko</t>
  </si>
  <si>
    <t>Barbora Varga</t>
  </si>
  <si>
    <t>Veronika Molnár</t>
  </si>
  <si>
    <t>Retail</t>
  </si>
  <si>
    <t>Martin Šimko</t>
  </si>
  <si>
    <t>Natália Varga</t>
  </si>
  <si>
    <t>VIP</t>
  </si>
  <si>
    <t>Česko</t>
  </si>
  <si>
    <t>Natália Horváth</t>
  </si>
  <si>
    <t>Marek Horváth</t>
  </si>
  <si>
    <t>Mária Tóth</t>
  </si>
  <si>
    <t>Barbora Baláž</t>
  </si>
  <si>
    <t>Lukáš Kučera</t>
  </si>
  <si>
    <t>Rakúsko</t>
  </si>
  <si>
    <t>Corporate</t>
  </si>
  <si>
    <t>Barbora Straka</t>
  </si>
  <si>
    <t>Lucia Kučera</t>
  </si>
  <si>
    <t>Marek Kováč</t>
  </si>
  <si>
    <t>Eva Bartoš</t>
  </si>
  <si>
    <t>Nemecko</t>
  </si>
  <si>
    <t>Michal Marek</t>
  </si>
  <si>
    <t>Tomáš Sokol</t>
  </si>
  <si>
    <t>Martin Vlk</t>
  </si>
  <si>
    <t>Poľsko</t>
  </si>
  <si>
    <t>Eva Poláček</t>
  </si>
  <si>
    <t>Natália Bartoš</t>
  </si>
  <si>
    <t>Andrej Sokol</t>
  </si>
  <si>
    <t>Filip Krátky</t>
  </si>
  <si>
    <t>Filip Dvořák</t>
  </si>
  <si>
    <t>Home Office</t>
  </si>
  <si>
    <t>Peter Molnár</t>
  </si>
  <si>
    <t>Marek Dvořák</t>
  </si>
  <si>
    <t>Martin Baláž</t>
  </si>
  <si>
    <t>Tomáš Straka</t>
  </si>
  <si>
    <t>Mária Kučera</t>
  </si>
  <si>
    <t>Marek Tóth</t>
  </si>
  <si>
    <t>Marek Novák</t>
  </si>
  <si>
    <t>Andrej Zajac</t>
  </si>
  <si>
    <t>Zuzana Hudák</t>
  </si>
  <si>
    <t>Veronika Hudák</t>
  </si>
  <si>
    <t>Lucia Vlk</t>
  </si>
  <si>
    <t>Michal Sokol</t>
  </si>
  <si>
    <t>Martin Molnár</t>
  </si>
  <si>
    <t>Petra Horváth</t>
  </si>
  <si>
    <t>Andrej Kučera</t>
  </si>
  <si>
    <t>Simona Zajac</t>
  </si>
  <si>
    <t>Eva Král</t>
  </si>
  <si>
    <t>Veronika Novák</t>
  </si>
  <si>
    <t>Zuzana Tóth</t>
  </si>
  <si>
    <t>Maďarsko</t>
  </si>
  <si>
    <t>Veronika Zajac</t>
  </si>
  <si>
    <t>Andrej Marek</t>
  </si>
  <si>
    <t>CUST1048</t>
  </si>
  <si>
    <t>Marek Vlk</t>
  </si>
  <si>
    <t>Marek Hudák</t>
  </si>
  <si>
    <t>Lukáš Šimko</t>
  </si>
  <si>
    <t>Marek Molnár</t>
  </si>
  <si>
    <t>Ján Novák</t>
  </si>
  <si>
    <t>Lukáš Hudák</t>
  </si>
  <si>
    <t>CUST1054</t>
  </si>
  <si>
    <t>Zuzana Kučera</t>
  </si>
  <si>
    <t>Simona Molnár</t>
  </si>
  <si>
    <t>Petra Novák</t>
  </si>
  <si>
    <t>Martin Varga</t>
  </si>
  <si>
    <t>Lukáš Sokol</t>
  </si>
  <si>
    <t>Eva Kováč</t>
  </si>
  <si>
    <t>Katarína Bartoš</t>
  </si>
  <si>
    <t>Jakub Baláž</t>
  </si>
  <si>
    <t>Petra Sokol</t>
  </si>
  <si>
    <t>Barbora Vlk</t>
  </si>
  <si>
    <t>Lukáš Molnár</t>
  </si>
  <si>
    <t>CUST1067</t>
  </si>
  <si>
    <t>Veronika Šimko</t>
  </si>
  <si>
    <t>Zuzana Bartoš</t>
  </si>
  <si>
    <t>Veronika Straka</t>
  </si>
  <si>
    <t>Tomáš Vlk</t>
  </si>
  <si>
    <t>Lucia Baláž</t>
  </si>
  <si>
    <t>Tomáš Baláž</t>
  </si>
  <si>
    <t>Michal Vlk</t>
  </si>
  <si>
    <t>Veronika Vlk</t>
  </si>
  <si>
    <t>Barbora Horváth</t>
  </si>
  <si>
    <t>Martin Bartoš</t>
  </si>
  <si>
    <t>Petra Marek</t>
  </si>
  <si>
    <t>CategoryName</t>
  </si>
  <si>
    <t>Elektronika</t>
  </si>
  <si>
    <t>Domácnosť</t>
  </si>
  <si>
    <t>Oblečenie</t>
  </si>
  <si>
    <t>Šport</t>
  </si>
  <si>
    <t>Kozmetika</t>
  </si>
  <si>
    <t>Knihy a hry</t>
  </si>
  <si>
    <t>Záhrada</t>
  </si>
  <si>
    <t>Hračky</t>
  </si>
  <si>
    <t>Date</t>
  </si>
  <si>
    <t>Year</t>
  </si>
  <si>
    <t>Month</t>
  </si>
  <si>
    <t>MonthName</t>
  </si>
  <si>
    <t>Quarter</t>
  </si>
  <si>
    <t>Week</t>
  </si>
  <si>
    <t>Január</t>
  </si>
  <si>
    <t>Q1</t>
  </si>
  <si>
    <t>Február</t>
  </si>
  <si>
    <t>Marec</t>
  </si>
  <si>
    <t>Apríl</t>
  </si>
  <si>
    <t>Q2</t>
  </si>
  <si>
    <t>Máj</t>
  </si>
  <si>
    <t>Jún</t>
  </si>
  <si>
    <t>Júl</t>
  </si>
  <si>
    <t>Q3</t>
  </si>
  <si>
    <t>August</t>
  </si>
  <si>
    <t>September</t>
  </si>
  <si>
    <t>Október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</si>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</sst>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\ hh:mm"/>
    <numFmt numFmtId="165" formatCode="#,##0.00&quot; €&quot;"/>
    <numFmt numFmtId="166" formatCode="0.0%"/>
    <numFmt numFmtId="167" formatCode="dd\.mm\.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9" fontId="2" fillId="3" borderId="1" xfId="0" applyNumberFormat="1" applyFont="1" applyFill="1" applyBorder="1"/>
    <xf numFmtId="166" fontId="2" fillId="3" borderId="1" xfId="0" applyNumberFormat="1" applyFont="1" applyFill="1" applyBorder="1"/>
    <xf numFmtId="9" fontId="2" fillId="0" borderId="1" xfId="0" applyNumberFormat="1" applyFont="1" applyBorder="1"/>
    <xf numFmtId="166" fontId="2" fillId="0" borderId="1" xfId="0" applyNumberFormat="1" applyFont="1" applyBorder="1"/>
    <xf numFmtId="167" fontId="2" fillId="3" borderId="1" xfId="0" applyNumberFormat="1" applyFont="1" applyFill="1" applyBorder="1"/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8" customWidth="1"/>
    <col min="3" max="3" width="13" customWidth="1"/>
    <col min="4" max="6" width="15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46147.770277777803</v>
      </c>
      <c r="C2" s="2" t="s">
        <v>7</v>
      </c>
      <c r="D2" s="2" t="s">
        <v>8</v>
      </c>
      <c r="E2" s="4">
        <f>SUMIF('Order Details'!$B$2:$B$394,A2,'Order Details'!$I$2:$I$394)</f>
        <v>214.95000000000002</v>
      </c>
      <c r="F2" s="4">
        <f>SUMIF('Order Details'!$B$2:$B$394,A2,'Order Details'!$J$2:$J$394)</f>
        <v>124.95000000000002</v>
      </c>
    </row>
    <row r="3" spans="1:6" x14ac:dyDescent="0.3">
      <c r="A3" s="5" t="s">
        <v>9</v>
      </c>
      <c r="B3" s="6">
        <v>46110.4793518519</v>
      </c>
      <c r="C3" s="5" t="s">
        <v>10</v>
      </c>
      <c r="D3" s="5" t="s">
        <v>11</v>
      </c>
      <c r="E3" s="7">
        <f>SUMIF('Order Details'!$B$2:$B$394,A3,'Order Details'!$I$2:$I$394)</f>
        <v>42.99</v>
      </c>
      <c r="F3" s="7">
        <f>SUMIF('Order Details'!$B$2:$B$394,A3,'Order Details'!$J$2:$J$394)</f>
        <v>23.490000000000002</v>
      </c>
    </row>
    <row r="4" spans="1:6" x14ac:dyDescent="0.3">
      <c r="A4" s="2" t="s">
        <v>12</v>
      </c>
      <c r="B4" s="3">
        <v>45816.976145833301</v>
      </c>
      <c r="C4" s="2" t="s">
        <v>13</v>
      </c>
      <c r="D4" s="2" t="s">
        <v>14</v>
      </c>
      <c r="E4" s="4">
        <f>SUMIF('Order Details'!$B$2:$B$394,A4,'Order Details'!$I$2:$I$394)</f>
        <v>174.95000000000002</v>
      </c>
      <c r="F4" s="4">
        <f>SUMIF('Order Details'!$B$2:$B$394,A4,'Order Details'!$J$2:$J$394)</f>
        <v>99.950000000000017</v>
      </c>
    </row>
    <row r="5" spans="1:6" x14ac:dyDescent="0.3">
      <c r="A5" s="5" t="s">
        <v>15</v>
      </c>
      <c r="B5" s="6">
        <v>46065.739189814798</v>
      </c>
      <c r="C5" s="5" t="s">
        <v>16</v>
      </c>
      <c r="D5" s="5" t="s">
        <v>11</v>
      </c>
      <c r="E5" s="7">
        <f>SUMIF('Order Details'!$B$2:$B$394,A5,'Order Details'!$I$2:$I$394)</f>
        <v>66.475999999999999</v>
      </c>
      <c r="F5" s="7">
        <f>SUMIF('Order Details'!$B$2:$B$394,A5,'Order Details'!$J$2:$J$394)</f>
        <v>34.475999999999999</v>
      </c>
    </row>
    <row r="6" spans="1:6" x14ac:dyDescent="0.3">
      <c r="A6" s="2" t="s">
        <v>17</v>
      </c>
      <c r="B6" s="3">
        <v>45984.1398611111</v>
      </c>
      <c r="C6" s="2" t="s">
        <v>18</v>
      </c>
      <c r="D6" s="2" t="s">
        <v>14</v>
      </c>
      <c r="E6" s="4">
        <f>SUMIF('Order Details'!$B$2:$B$394,A6,'Order Details'!$I$2:$I$394)</f>
        <v>49.491</v>
      </c>
      <c r="F6" s="4">
        <f>SUMIF('Order Details'!$B$2:$B$394,A6,'Order Details'!$J$2:$J$394)</f>
        <v>27.491</v>
      </c>
    </row>
    <row r="7" spans="1:6" x14ac:dyDescent="0.3">
      <c r="A7" s="5" t="s">
        <v>19</v>
      </c>
      <c r="B7" s="6">
        <v>45997.784965277802</v>
      </c>
      <c r="C7" s="5" t="s">
        <v>20</v>
      </c>
      <c r="D7" s="5" t="s">
        <v>14</v>
      </c>
      <c r="E7" s="7">
        <f>SUMIF('Order Details'!$B$2:$B$394,A7,'Order Details'!$I$2:$I$394)</f>
        <v>468.40499999999997</v>
      </c>
      <c r="F7" s="7">
        <f>SUMIF('Order Details'!$B$2:$B$394,A7,'Order Details'!$J$2:$J$394)</f>
        <v>240.905</v>
      </c>
    </row>
    <row r="8" spans="1:6" x14ac:dyDescent="0.3">
      <c r="A8" s="2" t="s">
        <v>21</v>
      </c>
      <c r="B8" s="3">
        <v>45936.060046296298</v>
      </c>
      <c r="C8" s="2" t="s">
        <v>22</v>
      </c>
      <c r="D8" s="2" t="s">
        <v>8</v>
      </c>
      <c r="E8" s="4">
        <f>SUMIF('Order Details'!$B$2:$B$394,A8,'Order Details'!$I$2:$I$394)</f>
        <v>39.99</v>
      </c>
      <c r="F8" s="4">
        <f>SUMIF('Order Details'!$B$2:$B$394,A8,'Order Details'!$J$2:$J$394)</f>
        <v>23.990000000000002</v>
      </c>
    </row>
    <row r="9" spans="1:6" x14ac:dyDescent="0.3">
      <c r="A9" s="5" t="s">
        <v>23</v>
      </c>
      <c r="B9" s="6">
        <v>46073.226585648197</v>
      </c>
      <c r="C9" s="5" t="s">
        <v>22</v>
      </c>
      <c r="D9" s="5" t="s">
        <v>11</v>
      </c>
      <c r="E9" s="7">
        <f>SUMIF('Order Details'!$B$2:$B$394,A9,'Order Details'!$I$2:$I$394)</f>
        <v>119.96</v>
      </c>
      <c r="F9" s="7">
        <f>SUMIF('Order Details'!$B$2:$B$394,A9,'Order Details'!$J$2:$J$394)</f>
        <v>70.959999999999994</v>
      </c>
    </row>
    <row r="10" spans="1:6" x14ac:dyDescent="0.3">
      <c r="A10" s="2" t="s">
        <v>24</v>
      </c>
      <c r="B10" s="3">
        <v>45933.025532407402</v>
      </c>
      <c r="C10" s="2" t="s">
        <v>25</v>
      </c>
      <c r="D10" s="2" t="s">
        <v>14</v>
      </c>
      <c r="E10" s="4">
        <f>SUMIF('Order Details'!$B$2:$B$394,A10,'Order Details'!$I$2:$I$394)</f>
        <v>139.21549999999999</v>
      </c>
      <c r="F10" s="4">
        <f>SUMIF('Order Details'!$B$2:$B$394,A10,'Order Details'!$J$2:$J$394)</f>
        <v>61.215499999999992</v>
      </c>
    </row>
    <row r="11" spans="1:6" x14ac:dyDescent="0.3">
      <c r="A11" s="5" t="s">
        <v>26</v>
      </c>
      <c r="B11" s="6">
        <v>45790.065543981502</v>
      </c>
      <c r="C11" s="5" t="s">
        <v>27</v>
      </c>
      <c r="D11" s="5" t="s">
        <v>11</v>
      </c>
      <c r="E11" s="7">
        <f>SUMIF('Order Details'!$B$2:$B$394,A11,'Order Details'!$I$2:$I$394)</f>
        <v>274.95</v>
      </c>
      <c r="F11" s="7">
        <f>SUMIF('Order Details'!$B$2:$B$394,A11,'Order Details'!$J$2:$J$394)</f>
        <v>144.94999999999999</v>
      </c>
    </row>
    <row r="12" spans="1:6" x14ac:dyDescent="0.3">
      <c r="A12" s="2" t="s">
        <v>28</v>
      </c>
      <c r="B12" s="3">
        <v>45864.473298611098</v>
      </c>
      <c r="C12" s="2" t="s">
        <v>29</v>
      </c>
      <c r="D12" s="2" t="s">
        <v>14</v>
      </c>
      <c r="E12" s="4">
        <f>SUMIF('Order Details'!$B$2:$B$394,A12,'Order Details'!$I$2:$I$394)</f>
        <v>19.482500000000002</v>
      </c>
      <c r="F12" s="4">
        <f>SUMIF('Order Details'!$B$2:$B$394,A12,'Order Details'!$J$2:$J$394)</f>
        <v>11.982500000000002</v>
      </c>
    </row>
    <row r="13" spans="1:6" x14ac:dyDescent="0.3">
      <c r="A13" s="5" t="s">
        <v>30</v>
      </c>
      <c r="B13" s="6">
        <v>45695.023275462998</v>
      </c>
      <c r="C13" s="5" t="s">
        <v>31</v>
      </c>
      <c r="D13" s="5" t="s">
        <v>11</v>
      </c>
      <c r="E13" s="7">
        <f>SUMIF('Order Details'!$B$2:$B$394,A13,'Order Details'!$I$2:$I$394)</f>
        <v>30.258499999999998</v>
      </c>
      <c r="F13" s="7">
        <f>SUMIF('Order Details'!$B$2:$B$394,A13,'Order Details'!$J$2:$J$394)</f>
        <v>17.258499999999998</v>
      </c>
    </row>
    <row r="14" spans="1:6" x14ac:dyDescent="0.3">
      <c r="A14" s="2" t="s">
        <v>32</v>
      </c>
      <c r="B14" s="3">
        <v>46164.828159722201</v>
      </c>
      <c r="C14" s="2" t="s">
        <v>33</v>
      </c>
      <c r="D14" s="2" t="s">
        <v>34</v>
      </c>
      <c r="E14" s="4">
        <f>SUMIF('Order Details'!$B$2:$B$394,A14,'Order Details'!$I$2:$I$394)</f>
        <v>21.49</v>
      </c>
      <c r="F14" s="4">
        <f>SUMIF('Order Details'!$B$2:$B$394,A14,'Order Details'!$J$2:$J$394)</f>
        <v>13.489999999999998</v>
      </c>
    </row>
    <row r="15" spans="1:6" x14ac:dyDescent="0.3">
      <c r="A15" s="5" t="s">
        <v>35</v>
      </c>
      <c r="B15" s="6">
        <v>46008.301319444399</v>
      </c>
      <c r="C15" s="5" t="s">
        <v>36</v>
      </c>
      <c r="D15" s="5" t="s">
        <v>34</v>
      </c>
      <c r="E15" s="7">
        <f>SUMIF('Order Details'!$B$2:$B$394,A15,'Order Details'!$I$2:$I$394)</f>
        <v>52.980000000000004</v>
      </c>
      <c r="F15" s="7">
        <f>SUMIF('Order Details'!$B$2:$B$394,A15,'Order Details'!$J$2:$J$394)</f>
        <v>30.98</v>
      </c>
    </row>
    <row r="16" spans="1:6" x14ac:dyDescent="0.3">
      <c r="A16" s="2" t="s">
        <v>37</v>
      </c>
      <c r="B16" s="3">
        <v>45919.653449074103</v>
      </c>
      <c r="C16" s="2" t="s">
        <v>25</v>
      </c>
      <c r="D16" s="2" t="s">
        <v>11</v>
      </c>
      <c r="E16" s="4">
        <f>SUMIF('Order Details'!$B$2:$B$394,A16,'Order Details'!$I$2:$I$394)</f>
        <v>161.964</v>
      </c>
      <c r="F16" s="4">
        <f>SUMIF('Order Details'!$B$2:$B$394,A16,'Order Details'!$J$2:$J$394)</f>
        <v>89.963999999999999</v>
      </c>
    </row>
    <row r="17" spans="1:6" x14ac:dyDescent="0.3">
      <c r="A17" s="5" t="s">
        <v>38</v>
      </c>
      <c r="B17" s="6">
        <v>45906.444571759297</v>
      </c>
      <c r="C17" s="5" t="s">
        <v>39</v>
      </c>
      <c r="D17" s="5" t="s">
        <v>11</v>
      </c>
      <c r="E17" s="7">
        <f>SUMIF('Order Details'!$B$2:$B$394,A17,'Order Details'!$I$2:$I$394)</f>
        <v>29.99</v>
      </c>
      <c r="F17" s="7">
        <f>SUMIF('Order Details'!$B$2:$B$394,A17,'Order Details'!$J$2:$J$394)</f>
        <v>17.489999999999998</v>
      </c>
    </row>
    <row r="18" spans="1:6" x14ac:dyDescent="0.3">
      <c r="A18" s="2" t="s">
        <v>40</v>
      </c>
      <c r="B18" s="3">
        <v>45989.370833333298</v>
      </c>
      <c r="C18" s="2" t="s">
        <v>41</v>
      </c>
      <c r="D18" s="2" t="s">
        <v>11</v>
      </c>
      <c r="E18" s="4">
        <f>SUMIF('Order Details'!$B$2:$B$394,A18,'Order Details'!$I$2:$I$394)</f>
        <v>38.346000000000004</v>
      </c>
      <c r="F18" s="4">
        <f>SUMIF('Order Details'!$B$2:$B$394,A18,'Order Details'!$J$2:$J$394)</f>
        <v>24.345999999999997</v>
      </c>
    </row>
    <row r="19" spans="1:6" x14ac:dyDescent="0.3">
      <c r="A19" s="5" t="s">
        <v>42</v>
      </c>
      <c r="B19" s="6">
        <v>45751.400752314803</v>
      </c>
      <c r="C19" s="5" t="s">
        <v>43</v>
      </c>
      <c r="D19" s="5" t="s">
        <v>34</v>
      </c>
      <c r="E19" s="7">
        <f>SUMIF('Order Details'!$B$2:$B$394,A19,'Order Details'!$I$2:$I$394)</f>
        <v>24.99</v>
      </c>
      <c r="F19" s="7">
        <f>SUMIF('Order Details'!$B$2:$B$394,A19,'Order Details'!$J$2:$J$394)</f>
        <v>14.489999999999998</v>
      </c>
    </row>
    <row r="20" spans="1:6" x14ac:dyDescent="0.3">
      <c r="A20" s="2" t="s">
        <v>44</v>
      </c>
      <c r="B20" s="3">
        <v>45896.128159722197</v>
      </c>
      <c r="C20" s="2" t="s">
        <v>45</v>
      </c>
      <c r="D20" s="2" t="s">
        <v>14</v>
      </c>
      <c r="E20" s="4">
        <f>SUMIF('Order Details'!$B$2:$B$394,A20,'Order Details'!$I$2:$I$394)</f>
        <v>831.94200000000001</v>
      </c>
      <c r="F20" s="4">
        <f>SUMIF('Order Details'!$B$2:$B$394,A20,'Order Details'!$J$2:$J$394)</f>
        <v>359.94200000000001</v>
      </c>
    </row>
    <row r="21" spans="1:6" x14ac:dyDescent="0.3">
      <c r="A21" s="5" t="s">
        <v>46</v>
      </c>
      <c r="B21" s="6">
        <v>46164.226736111101</v>
      </c>
      <c r="C21" s="5" t="s">
        <v>47</v>
      </c>
      <c r="D21" s="5" t="s">
        <v>11</v>
      </c>
      <c r="E21" s="7">
        <f>SUMIF('Order Details'!$B$2:$B$394,A21,'Order Details'!$I$2:$I$394)</f>
        <v>568.95300000000009</v>
      </c>
      <c r="F21" s="7">
        <f>SUMIF('Order Details'!$B$2:$B$394,A21,'Order Details'!$J$2:$J$394)</f>
        <v>214.95300000000006</v>
      </c>
    </row>
    <row r="22" spans="1:6" x14ac:dyDescent="0.3">
      <c r="A22" s="2" t="s">
        <v>48</v>
      </c>
      <c r="B22" s="3">
        <v>45800.794548611098</v>
      </c>
      <c r="C22" s="2" t="s">
        <v>49</v>
      </c>
      <c r="D22" s="2" t="s">
        <v>34</v>
      </c>
      <c r="E22" s="4">
        <f>SUMIF('Order Details'!$B$2:$B$394,A22,'Order Details'!$I$2:$I$394)</f>
        <v>54.364999999999995</v>
      </c>
      <c r="F22" s="4">
        <f>SUMIF('Order Details'!$B$2:$B$394,A22,'Order Details'!$J$2:$J$394)</f>
        <v>31.364999999999998</v>
      </c>
    </row>
    <row r="23" spans="1:6" x14ac:dyDescent="0.3">
      <c r="A23" s="5" t="s">
        <v>50</v>
      </c>
      <c r="B23" s="6">
        <v>45745.047268518501</v>
      </c>
      <c r="C23" s="5" t="s">
        <v>36</v>
      </c>
      <c r="D23" s="5" t="s">
        <v>11</v>
      </c>
      <c r="E23" s="7">
        <f>SUMIF('Order Details'!$B$2:$B$394,A23,'Order Details'!$I$2:$I$394)</f>
        <v>163.82749999999999</v>
      </c>
      <c r="F23" s="7">
        <f>SUMIF('Order Details'!$B$2:$B$394,A23,'Order Details'!$J$2:$J$394)</f>
        <v>94.827499999999986</v>
      </c>
    </row>
    <row r="24" spans="1:6" x14ac:dyDescent="0.3">
      <c r="A24" s="2" t="s">
        <v>51</v>
      </c>
      <c r="B24" s="3">
        <v>46159.400173611102</v>
      </c>
      <c r="C24" s="2" t="s">
        <v>52</v>
      </c>
      <c r="D24" s="2" t="s">
        <v>11</v>
      </c>
      <c r="E24" s="4">
        <f>SUMIF('Order Details'!$B$2:$B$394,A24,'Order Details'!$I$2:$I$394)</f>
        <v>154.19499999999999</v>
      </c>
      <c r="F24" s="4">
        <f>SUMIF('Order Details'!$B$2:$B$394,A24,'Order Details'!$J$2:$J$394)</f>
        <v>87.694999999999993</v>
      </c>
    </row>
    <row r="25" spans="1:6" x14ac:dyDescent="0.3">
      <c r="A25" s="5" t="s">
        <v>53</v>
      </c>
      <c r="B25" s="6">
        <v>45868.3500347222</v>
      </c>
      <c r="C25" s="5" t="s">
        <v>54</v>
      </c>
      <c r="D25" s="5" t="s">
        <v>14</v>
      </c>
      <c r="E25" s="7">
        <f>SUMIF('Order Details'!$B$2:$B$394,A25,'Order Details'!$I$2:$I$394)</f>
        <v>239.53199999999998</v>
      </c>
      <c r="F25" s="7">
        <f>SUMIF('Order Details'!$B$2:$B$394,A25,'Order Details'!$J$2:$J$394)</f>
        <v>133.03199999999998</v>
      </c>
    </row>
    <row r="26" spans="1:6" x14ac:dyDescent="0.3">
      <c r="A26" s="2" t="s">
        <v>55</v>
      </c>
      <c r="B26" s="3">
        <v>45794.018912036998</v>
      </c>
      <c r="C26" s="2" t="s">
        <v>45</v>
      </c>
      <c r="D26" s="2" t="s">
        <v>11</v>
      </c>
      <c r="E26" s="4">
        <f>SUMIF('Order Details'!$B$2:$B$394,A26,'Order Details'!$I$2:$I$394)</f>
        <v>56.697499999999991</v>
      </c>
      <c r="F26" s="4">
        <f>SUMIF('Order Details'!$B$2:$B$394,A26,'Order Details'!$J$2:$J$394)</f>
        <v>33.697499999999991</v>
      </c>
    </row>
    <row r="27" spans="1:6" x14ac:dyDescent="0.3">
      <c r="A27" s="5" t="s">
        <v>56</v>
      </c>
      <c r="B27" s="6">
        <v>46135.707453703697</v>
      </c>
      <c r="C27" s="5" t="s">
        <v>57</v>
      </c>
      <c r="D27" s="5" t="s">
        <v>34</v>
      </c>
      <c r="E27" s="7">
        <f>SUMIF('Order Details'!$B$2:$B$394,A27,'Order Details'!$I$2:$I$394)</f>
        <v>525.14150000000006</v>
      </c>
      <c r="F27" s="7">
        <f>SUMIF('Order Details'!$B$2:$B$394,A27,'Order Details'!$J$2:$J$394)</f>
        <v>302.14150000000001</v>
      </c>
    </row>
    <row r="28" spans="1:6" x14ac:dyDescent="0.3">
      <c r="A28" s="2" t="s">
        <v>58</v>
      </c>
      <c r="B28" s="3">
        <v>45734.882106481498</v>
      </c>
      <c r="C28" s="2" t="s">
        <v>59</v>
      </c>
      <c r="D28" s="2" t="s">
        <v>11</v>
      </c>
      <c r="E28" s="4">
        <f>SUMIF('Order Details'!$B$2:$B$394,A28,'Order Details'!$I$2:$I$394)</f>
        <v>45.874500000000005</v>
      </c>
      <c r="F28" s="4">
        <f>SUMIF('Order Details'!$B$2:$B$394,A28,'Order Details'!$J$2:$J$394)</f>
        <v>24.874500000000005</v>
      </c>
    </row>
    <row r="29" spans="1:6" x14ac:dyDescent="0.3">
      <c r="A29" s="5" t="s">
        <v>60</v>
      </c>
      <c r="B29" s="6">
        <v>45894.755312499998</v>
      </c>
      <c r="C29" s="5" t="s">
        <v>61</v>
      </c>
      <c r="D29" s="5" t="s">
        <v>8</v>
      </c>
      <c r="E29" s="7">
        <f>SUMIF('Order Details'!$B$2:$B$394,A29,'Order Details'!$I$2:$I$394)</f>
        <v>48.980000000000004</v>
      </c>
      <c r="F29" s="7">
        <f>SUMIF('Order Details'!$B$2:$B$394,A29,'Order Details'!$J$2:$J$394)</f>
        <v>29.480000000000004</v>
      </c>
    </row>
    <row r="30" spans="1:6" x14ac:dyDescent="0.3">
      <c r="A30" s="2" t="s">
        <v>62</v>
      </c>
      <c r="B30" s="3">
        <v>46084.521793981497</v>
      </c>
      <c r="C30" s="2" t="s">
        <v>63</v>
      </c>
      <c r="D30" s="2" t="s">
        <v>11</v>
      </c>
      <c r="E30" s="4">
        <f>SUMIF('Order Details'!$B$2:$B$394,A30,'Order Details'!$I$2:$I$394)</f>
        <v>58.491</v>
      </c>
      <c r="F30" s="4">
        <f>SUMIF('Order Details'!$B$2:$B$394,A30,'Order Details'!$J$2:$J$394)</f>
        <v>30.491</v>
      </c>
    </row>
    <row r="31" spans="1:6" x14ac:dyDescent="0.3">
      <c r="A31" s="5" t="s">
        <v>64</v>
      </c>
      <c r="B31" s="6">
        <v>45780.296944444497</v>
      </c>
      <c r="C31" s="5" t="s">
        <v>10</v>
      </c>
      <c r="D31" s="5" t="s">
        <v>14</v>
      </c>
      <c r="E31" s="7">
        <f>SUMIF('Order Details'!$B$2:$B$394,A31,'Order Details'!$I$2:$I$394)</f>
        <v>160.12400000000002</v>
      </c>
      <c r="F31" s="7">
        <f>SUMIF('Order Details'!$B$2:$B$394,A31,'Order Details'!$J$2:$J$394)</f>
        <v>95.623999999999995</v>
      </c>
    </row>
    <row r="32" spans="1:6" x14ac:dyDescent="0.3">
      <c r="A32" s="2" t="s">
        <v>65</v>
      </c>
      <c r="B32" s="3">
        <v>45945.154293981497</v>
      </c>
      <c r="C32" s="2" t="s">
        <v>66</v>
      </c>
      <c r="D32" s="2" t="s">
        <v>11</v>
      </c>
      <c r="E32" s="4">
        <f>SUMIF('Order Details'!$B$2:$B$394,A32,'Order Details'!$I$2:$I$394)</f>
        <v>397.97</v>
      </c>
      <c r="F32" s="4">
        <f>SUMIF('Order Details'!$B$2:$B$394,A32,'Order Details'!$J$2:$J$394)</f>
        <v>170.97000000000003</v>
      </c>
    </row>
    <row r="33" spans="1:6" x14ac:dyDescent="0.3">
      <c r="A33" s="5" t="s">
        <v>67</v>
      </c>
      <c r="B33" s="6">
        <v>46096.044004629599</v>
      </c>
      <c r="C33" s="5" t="s">
        <v>68</v>
      </c>
      <c r="D33" s="5" t="s">
        <v>34</v>
      </c>
      <c r="E33" s="7">
        <f>SUMIF('Order Details'!$B$2:$B$394,A33,'Order Details'!$I$2:$I$394)</f>
        <v>124.96000000000001</v>
      </c>
      <c r="F33" s="7">
        <f>SUMIF('Order Details'!$B$2:$B$394,A33,'Order Details'!$J$2:$J$394)</f>
        <v>76.960000000000008</v>
      </c>
    </row>
    <row r="34" spans="1:6" x14ac:dyDescent="0.3">
      <c r="A34" s="2" t="s">
        <v>69</v>
      </c>
      <c r="B34" s="3">
        <v>45951.736631944397</v>
      </c>
      <c r="C34" s="2" t="s">
        <v>70</v>
      </c>
      <c r="D34" s="2" t="s">
        <v>11</v>
      </c>
      <c r="E34" s="4">
        <f>SUMIF('Order Details'!$B$2:$B$394,A34,'Order Details'!$I$2:$I$394)</f>
        <v>141.33249999999998</v>
      </c>
      <c r="F34" s="4">
        <f>SUMIF('Order Details'!$B$2:$B$394,A34,'Order Details'!$J$2:$J$394)</f>
        <v>72.832499999999996</v>
      </c>
    </row>
    <row r="35" spans="1:6" x14ac:dyDescent="0.3">
      <c r="A35" s="5" t="s">
        <v>71</v>
      </c>
      <c r="B35" s="6">
        <v>45780.253842592603</v>
      </c>
      <c r="C35" s="5" t="s">
        <v>10</v>
      </c>
      <c r="D35" s="5" t="s">
        <v>14</v>
      </c>
      <c r="E35" s="7">
        <f>SUMIF('Order Details'!$B$2:$B$394,A35,'Order Details'!$I$2:$I$394)</f>
        <v>85.96</v>
      </c>
      <c r="F35" s="7">
        <f>SUMIF('Order Details'!$B$2:$B$394,A35,'Order Details'!$J$2:$J$394)</f>
        <v>53.959999999999994</v>
      </c>
    </row>
    <row r="36" spans="1:6" x14ac:dyDescent="0.3">
      <c r="A36" s="2" t="s">
        <v>72</v>
      </c>
      <c r="B36" s="3">
        <v>46121.504918981504</v>
      </c>
      <c r="C36" s="2" t="s">
        <v>73</v>
      </c>
      <c r="D36" s="2" t="s">
        <v>74</v>
      </c>
      <c r="E36" s="4">
        <f>SUMIF('Order Details'!$B$2:$B$394,A36,'Order Details'!$I$2:$I$394)</f>
        <v>69.98</v>
      </c>
      <c r="F36" s="4">
        <f>SUMIF('Order Details'!$B$2:$B$394,A36,'Order Details'!$J$2:$J$394)</f>
        <v>39.980000000000004</v>
      </c>
    </row>
    <row r="37" spans="1:6" x14ac:dyDescent="0.3">
      <c r="A37" s="5" t="s">
        <v>75</v>
      </c>
      <c r="B37" s="6">
        <v>46008.843275462998</v>
      </c>
      <c r="C37" s="5" t="s">
        <v>76</v>
      </c>
      <c r="D37" s="5" t="s">
        <v>11</v>
      </c>
      <c r="E37" s="7">
        <f>SUMIF('Order Details'!$B$2:$B$394,A37,'Order Details'!$I$2:$I$394)</f>
        <v>119.97</v>
      </c>
      <c r="F37" s="7">
        <f>SUMIF('Order Details'!$B$2:$B$394,A37,'Order Details'!$J$2:$J$394)</f>
        <v>68.97</v>
      </c>
    </row>
    <row r="38" spans="1:6" x14ac:dyDescent="0.3">
      <c r="A38" s="2" t="s">
        <v>77</v>
      </c>
      <c r="B38" s="3">
        <v>46080.580775463</v>
      </c>
      <c r="C38" s="2" t="s">
        <v>78</v>
      </c>
      <c r="D38" s="2" t="s">
        <v>11</v>
      </c>
      <c r="E38" s="4">
        <f>SUMIF('Order Details'!$B$2:$B$394,A38,'Order Details'!$I$2:$I$394)</f>
        <v>68.981999999999999</v>
      </c>
      <c r="F38" s="4">
        <f>SUMIF('Order Details'!$B$2:$B$394,A38,'Order Details'!$J$2:$J$394)</f>
        <v>38.481999999999999</v>
      </c>
    </row>
    <row r="39" spans="1:6" x14ac:dyDescent="0.3">
      <c r="A39" s="5" t="s">
        <v>79</v>
      </c>
      <c r="B39" s="6">
        <v>46173.802847222199</v>
      </c>
      <c r="C39" s="5" t="s">
        <v>80</v>
      </c>
      <c r="D39" s="5" t="s">
        <v>14</v>
      </c>
      <c r="E39" s="7">
        <f>SUMIF('Order Details'!$B$2:$B$394,A39,'Order Details'!$I$2:$I$394)</f>
        <v>265.43149999999997</v>
      </c>
      <c r="F39" s="7">
        <f>SUMIF('Order Details'!$B$2:$B$394,A39,'Order Details'!$J$2:$J$394)</f>
        <v>134.9315</v>
      </c>
    </row>
    <row r="40" spans="1:6" x14ac:dyDescent="0.3">
      <c r="A40" s="2" t="s">
        <v>81</v>
      </c>
      <c r="B40" s="3">
        <v>45788.048912036997</v>
      </c>
      <c r="C40" s="2" t="s">
        <v>78</v>
      </c>
      <c r="D40" s="2" t="s">
        <v>11</v>
      </c>
      <c r="E40" s="4">
        <f>SUMIF('Order Details'!$B$2:$B$394,A40,'Order Details'!$I$2:$I$394)</f>
        <v>187.935</v>
      </c>
      <c r="F40" s="4">
        <f>SUMIF('Order Details'!$B$2:$B$394,A40,'Order Details'!$J$2:$J$394)</f>
        <v>89.934999999999988</v>
      </c>
    </row>
    <row r="41" spans="1:6" x14ac:dyDescent="0.3">
      <c r="A41" s="5" t="s">
        <v>82</v>
      </c>
      <c r="B41" s="6">
        <v>45769.339502314797</v>
      </c>
      <c r="C41" s="5" t="s">
        <v>52</v>
      </c>
      <c r="D41" s="5" t="s">
        <v>11</v>
      </c>
      <c r="E41" s="7">
        <f>SUMIF('Order Details'!$B$2:$B$394,A41,'Order Details'!$I$2:$I$394)</f>
        <v>110.64599999999999</v>
      </c>
      <c r="F41" s="7">
        <f>SUMIF('Order Details'!$B$2:$B$394,A41,'Order Details'!$J$2:$J$394)</f>
        <v>64.645999999999987</v>
      </c>
    </row>
    <row r="42" spans="1:6" x14ac:dyDescent="0.3">
      <c r="A42" s="2" t="s">
        <v>83</v>
      </c>
      <c r="B42" s="3">
        <v>45745.836643518502</v>
      </c>
      <c r="C42" s="2" t="s">
        <v>84</v>
      </c>
      <c r="D42" s="2" t="s">
        <v>34</v>
      </c>
      <c r="E42" s="4">
        <f>SUMIF('Order Details'!$B$2:$B$394,A42,'Order Details'!$I$2:$I$394)</f>
        <v>27.992000000000004</v>
      </c>
      <c r="F42" s="4">
        <f>SUMIF('Order Details'!$B$2:$B$394,A42,'Order Details'!$J$2:$J$394)</f>
        <v>12.992000000000004</v>
      </c>
    </row>
    <row r="43" spans="1:6" x14ac:dyDescent="0.3">
      <c r="A43" s="5" t="s">
        <v>85</v>
      </c>
      <c r="B43" s="6">
        <v>45789.9503819444</v>
      </c>
      <c r="C43" s="5" t="s">
        <v>45</v>
      </c>
      <c r="D43" s="5" t="s">
        <v>11</v>
      </c>
      <c r="E43" s="7">
        <f>SUMIF('Order Details'!$B$2:$B$394,A43,'Order Details'!$I$2:$I$394)</f>
        <v>105.97099999999999</v>
      </c>
      <c r="F43" s="7">
        <f>SUMIF('Order Details'!$B$2:$B$394,A43,'Order Details'!$J$2:$J$394)</f>
        <v>61.970999999999989</v>
      </c>
    </row>
    <row r="44" spans="1:6" x14ac:dyDescent="0.3">
      <c r="A44" s="2" t="s">
        <v>86</v>
      </c>
      <c r="B44" s="3">
        <v>45925.339178240698</v>
      </c>
      <c r="C44" s="2" t="s">
        <v>20</v>
      </c>
      <c r="D44" s="2" t="s">
        <v>34</v>
      </c>
      <c r="E44" s="4">
        <f>SUMIF('Order Details'!$B$2:$B$394,A44,'Order Details'!$I$2:$I$394)</f>
        <v>24.99</v>
      </c>
      <c r="F44" s="4">
        <f>SUMIF('Order Details'!$B$2:$B$394,A44,'Order Details'!$J$2:$J$394)</f>
        <v>15.489999999999998</v>
      </c>
    </row>
    <row r="45" spans="1:6" x14ac:dyDescent="0.3">
      <c r="A45" s="5" t="s">
        <v>87</v>
      </c>
      <c r="B45" s="6">
        <v>45906.721053240697</v>
      </c>
      <c r="C45" s="5" t="s">
        <v>88</v>
      </c>
      <c r="D45" s="5" t="s">
        <v>11</v>
      </c>
      <c r="E45" s="7">
        <f>SUMIF('Order Details'!$B$2:$B$394,A45,'Order Details'!$I$2:$I$394)</f>
        <v>50.47</v>
      </c>
      <c r="F45" s="7">
        <f>SUMIF('Order Details'!$B$2:$B$394,A45,'Order Details'!$J$2:$J$394)</f>
        <v>30.97</v>
      </c>
    </row>
    <row r="46" spans="1:6" x14ac:dyDescent="0.3">
      <c r="A46" s="2" t="s">
        <v>89</v>
      </c>
      <c r="B46" s="3">
        <v>45741.3902662037</v>
      </c>
      <c r="C46" s="2" t="s">
        <v>90</v>
      </c>
      <c r="D46" s="2" t="s">
        <v>11</v>
      </c>
      <c r="E46" s="4">
        <f>SUMIF('Order Details'!$B$2:$B$394,A46,'Order Details'!$I$2:$I$394)</f>
        <v>6.99</v>
      </c>
      <c r="F46" s="4">
        <f>SUMIF('Order Details'!$B$2:$B$394,A46,'Order Details'!$J$2:$J$394)</f>
        <v>4.99</v>
      </c>
    </row>
    <row r="47" spans="1:6" x14ac:dyDescent="0.3">
      <c r="A47" s="5" t="s">
        <v>91</v>
      </c>
      <c r="B47" s="6">
        <v>46088.549641203703</v>
      </c>
      <c r="C47" s="5" t="s">
        <v>92</v>
      </c>
      <c r="D47" s="5" t="s">
        <v>14</v>
      </c>
      <c r="E47" s="7">
        <f>SUMIF('Order Details'!$B$2:$B$394,A47,'Order Details'!$I$2:$I$394)</f>
        <v>28.480999999999998</v>
      </c>
      <c r="F47" s="7">
        <f>SUMIF('Order Details'!$B$2:$B$394,A47,'Order Details'!$J$2:$J$394)</f>
        <v>17.480999999999998</v>
      </c>
    </row>
    <row r="48" spans="1:6" x14ac:dyDescent="0.3">
      <c r="A48" s="2" t="s">
        <v>93</v>
      </c>
      <c r="B48" s="3">
        <v>46165.304027777798</v>
      </c>
      <c r="C48" s="2" t="s">
        <v>59</v>
      </c>
      <c r="D48" s="2" t="s">
        <v>11</v>
      </c>
      <c r="E48" s="4">
        <f>SUMIF('Order Details'!$B$2:$B$394,A48,'Order Details'!$I$2:$I$394)</f>
        <v>357.41</v>
      </c>
      <c r="F48" s="4">
        <f>SUMIF('Order Details'!$B$2:$B$394,A48,'Order Details'!$J$2:$J$394)</f>
        <v>213.41000000000003</v>
      </c>
    </row>
    <row r="49" spans="1:6" x14ac:dyDescent="0.3">
      <c r="A49" s="5" t="s">
        <v>94</v>
      </c>
      <c r="B49" s="6">
        <v>45715.902326388903</v>
      </c>
      <c r="C49" s="5" t="s">
        <v>90</v>
      </c>
      <c r="D49" s="5" t="s">
        <v>11</v>
      </c>
      <c r="E49" s="7">
        <f>SUMIF('Order Details'!$B$2:$B$394,A49,'Order Details'!$I$2:$I$394)</f>
        <v>7.1154999999999999</v>
      </c>
      <c r="F49" s="7">
        <f>SUMIF('Order Details'!$B$2:$B$394,A49,'Order Details'!$J$2:$J$394)</f>
        <v>5.1154999999999999</v>
      </c>
    </row>
    <row r="50" spans="1:6" x14ac:dyDescent="0.3">
      <c r="A50" s="2" t="s">
        <v>95</v>
      </c>
      <c r="B50" s="3">
        <v>45711.091226851902</v>
      </c>
      <c r="C50" s="2" t="s">
        <v>90</v>
      </c>
      <c r="D50" s="2" t="s">
        <v>11</v>
      </c>
      <c r="E50" s="4">
        <f>SUMIF('Order Details'!$B$2:$B$394,A50,'Order Details'!$I$2:$I$394)</f>
        <v>25.164000000000001</v>
      </c>
      <c r="F50" s="4">
        <f>SUMIF('Order Details'!$B$2:$B$394,A50,'Order Details'!$J$2:$J$394)</f>
        <v>17.164000000000001</v>
      </c>
    </row>
    <row r="51" spans="1:6" x14ac:dyDescent="0.3">
      <c r="A51" s="5" t="s">
        <v>96</v>
      </c>
      <c r="B51" s="6">
        <v>45827.499467592599</v>
      </c>
      <c r="C51" s="5" t="s">
        <v>97</v>
      </c>
      <c r="D51" s="5" t="s">
        <v>11</v>
      </c>
      <c r="E51" s="7">
        <f>SUMIF('Order Details'!$B$2:$B$394,A51,'Order Details'!$I$2:$I$394)</f>
        <v>95.472999999999999</v>
      </c>
      <c r="F51" s="7">
        <f>SUMIF('Order Details'!$B$2:$B$394,A51,'Order Details'!$J$2:$J$394)</f>
        <v>47.973000000000006</v>
      </c>
    </row>
    <row r="52" spans="1:6" x14ac:dyDescent="0.3">
      <c r="A52" s="2" t="s">
        <v>98</v>
      </c>
      <c r="B52" s="3">
        <v>46111.256770833301</v>
      </c>
      <c r="C52" s="2" t="s">
        <v>41</v>
      </c>
      <c r="D52" s="2" t="s">
        <v>11</v>
      </c>
      <c r="E52" s="4">
        <f>SUMIF('Order Details'!$B$2:$B$394,A52,'Order Details'!$I$2:$I$394)</f>
        <v>83.992000000000004</v>
      </c>
      <c r="F52" s="4">
        <f>SUMIF('Order Details'!$B$2:$B$394,A52,'Order Details'!$J$2:$J$394)</f>
        <v>28.992000000000004</v>
      </c>
    </row>
    <row r="53" spans="1:6" x14ac:dyDescent="0.3">
      <c r="A53" s="5" t="s">
        <v>99</v>
      </c>
      <c r="B53" s="6">
        <v>45870.576666666697</v>
      </c>
      <c r="C53" s="5" t="s">
        <v>13</v>
      </c>
      <c r="D53" s="5" t="s">
        <v>11</v>
      </c>
      <c r="E53" s="7">
        <f>SUMIF('Order Details'!$B$2:$B$394,A53,'Order Details'!$I$2:$I$394)</f>
        <v>239.70099999999999</v>
      </c>
      <c r="F53" s="7">
        <f>SUMIF('Order Details'!$B$2:$B$394,A53,'Order Details'!$J$2:$J$394)</f>
        <v>120.50099999999999</v>
      </c>
    </row>
    <row r="54" spans="1:6" x14ac:dyDescent="0.3">
      <c r="A54" s="2" t="s">
        <v>100</v>
      </c>
      <c r="B54" s="3">
        <v>45689.958252314798</v>
      </c>
      <c r="C54" s="2" t="s">
        <v>101</v>
      </c>
      <c r="D54" s="2" t="s">
        <v>11</v>
      </c>
      <c r="E54" s="4">
        <f>SUMIF('Order Details'!$B$2:$B$394,A54,'Order Details'!$I$2:$I$394)</f>
        <v>162.95000000000002</v>
      </c>
      <c r="F54" s="4">
        <f>SUMIF('Order Details'!$B$2:$B$394,A54,'Order Details'!$J$2:$J$394)</f>
        <v>100.94999999999999</v>
      </c>
    </row>
    <row r="55" spans="1:6" x14ac:dyDescent="0.3">
      <c r="A55" s="5" t="s">
        <v>102</v>
      </c>
      <c r="B55" s="6">
        <v>46005.550636574102</v>
      </c>
      <c r="C55" s="5" t="s">
        <v>103</v>
      </c>
      <c r="D55" s="5" t="s">
        <v>11</v>
      </c>
      <c r="E55" s="7">
        <f>SUMIF('Order Details'!$B$2:$B$394,A55,'Order Details'!$I$2:$I$394)</f>
        <v>221.93000000000004</v>
      </c>
      <c r="F55" s="7">
        <f>SUMIF('Order Details'!$B$2:$B$394,A55,'Order Details'!$J$2:$J$394)</f>
        <v>108.93000000000002</v>
      </c>
    </row>
    <row r="56" spans="1:6" x14ac:dyDescent="0.3">
      <c r="A56" s="2" t="s">
        <v>104</v>
      </c>
      <c r="B56" s="3">
        <v>45897.162708333301</v>
      </c>
      <c r="C56" s="2" t="s">
        <v>105</v>
      </c>
      <c r="D56" s="2" t="s">
        <v>11</v>
      </c>
      <c r="E56" s="4">
        <f>SUMIF('Order Details'!$B$2:$B$394,A56,'Order Details'!$I$2:$I$394)</f>
        <v>317.90000000000003</v>
      </c>
      <c r="F56" s="4">
        <f>SUMIF('Order Details'!$B$2:$B$394,A56,'Order Details'!$J$2:$J$394)</f>
        <v>191.9</v>
      </c>
    </row>
    <row r="57" spans="1:6" x14ac:dyDescent="0.3">
      <c r="A57" s="5" t="s">
        <v>106</v>
      </c>
      <c r="B57" s="6">
        <v>45993.484756944497</v>
      </c>
      <c r="C57" s="5" t="s">
        <v>54</v>
      </c>
      <c r="D57" s="5" t="s">
        <v>11</v>
      </c>
      <c r="E57" s="7">
        <f>SUMIF('Order Details'!$B$2:$B$394,A57,'Order Details'!$I$2:$I$394)</f>
        <v>137.9965</v>
      </c>
      <c r="F57" s="7">
        <f>SUMIF('Order Details'!$B$2:$B$394,A57,'Order Details'!$J$2:$J$394)</f>
        <v>69.996499999999997</v>
      </c>
    </row>
    <row r="58" spans="1:6" x14ac:dyDescent="0.3">
      <c r="A58" s="2" t="s">
        <v>107</v>
      </c>
      <c r="B58" s="3">
        <v>45822.647094907399</v>
      </c>
      <c r="C58" s="2" t="s">
        <v>47</v>
      </c>
      <c r="D58" s="2" t="s">
        <v>8</v>
      </c>
      <c r="E58" s="4">
        <f>SUMIF('Order Details'!$B$2:$B$394,A58,'Order Details'!$I$2:$I$394)</f>
        <v>176.44199999999998</v>
      </c>
      <c r="F58" s="4">
        <f>SUMIF('Order Details'!$B$2:$B$394,A58,'Order Details'!$J$2:$J$394)</f>
        <v>94.441999999999993</v>
      </c>
    </row>
    <row r="59" spans="1:6" x14ac:dyDescent="0.3">
      <c r="A59" s="5" t="s">
        <v>108</v>
      </c>
      <c r="B59" s="6">
        <v>45782.445891203701</v>
      </c>
      <c r="C59" s="5" t="s">
        <v>109</v>
      </c>
      <c r="D59" s="5" t="s">
        <v>11</v>
      </c>
      <c r="E59" s="7">
        <f>SUMIF('Order Details'!$B$2:$B$394,A59,'Order Details'!$I$2:$I$394)</f>
        <v>53.97</v>
      </c>
      <c r="F59" s="7">
        <f>SUMIF('Order Details'!$B$2:$B$394,A59,'Order Details'!$J$2:$J$394)</f>
        <v>32.97</v>
      </c>
    </row>
    <row r="60" spans="1:6" x14ac:dyDescent="0.3">
      <c r="A60" s="2" t="s">
        <v>110</v>
      </c>
      <c r="B60" s="3">
        <v>45946.877268518503</v>
      </c>
      <c r="C60" s="2" t="s">
        <v>111</v>
      </c>
      <c r="D60" s="2" t="s">
        <v>11</v>
      </c>
      <c r="E60" s="4">
        <f>SUMIF('Order Details'!$B$2:$B$394,A60,'Order Details'!$I$2:$I$394)</f>
        <v>189.95249999999999</v>
      </c>
      <c r="F60" s="4">
        <f>SUMIF('Order Details'!$B$2:$B$394,A60,'Order Details'!$J$2:$J$394)</f>
        <v>104.95249999999999</v>
      </c>
    </row>
    <row r="61" spans="1:6" x14ac:dyDescent="0.3">
      <c r="A61" s="5" t="s">
        <v>112</v>
      </c>
      <c r="B61" s="6">
        <v>45760.9911111111</v>
      </c>
      <c r="C61" s="5" t="s">
        <v>36</v>
      </c>
      <c r="D61" s="5" t="s">
        <v>11</v>
      </c>
      <c r="E61" s="7">
        <f>SUMIF('Order Details'!$B$2:$B$394,A61,'Order Details'!$I$2:$I$394)</f>
        <v>55.241499999999995</v>
      </c>
      <c r="F61" s="7">
        <f>SUMIF('Order Details'!$B$2:$B$394,A61,'Order Details'!$J$2:$J$394)</f>
        <v>23.241499999999995</v>
      </c>
    </row>
    <row r="62" spans="1:6" x14ac:dyDescent="0.3">
      <c r="A62" s="2" t="s">
        <v>113</v>
      </c>
      <c r="B62" s="3">
        <v>46040.061226851903</v>
      </c>
      <c r="C62" s="2" t="s">
        <v>114</v>
      </c>
      <c r="D62" s="2" t="s">
        <v>8</v>
      </c>
      <c r="E62" s="4">
        <f>SUMIF('Order Details'!$B$2:$B$394,A62,'Order Details'!$I$2:$I$394)</f>
        <v>5.2429999999999994</v>
      </c>
      <c r="F62" s="4">
        <f>SUMIF('Order Details'!$B$2:$B$394,A62,'Order Details'!$J$2:$J$394)</f>
        <v>3.0429999999999993</v>
      </c>
    </row>
    <row r="63" spans="1:6" x14ac:dyDescent="0.3">
      <c r="A63" s="5" t="s">
        <v>115</v>
      </c>
      <c r="B63" s="6">
        <v>45856.113946759302</v>
      </c>
      <c r="C63" s="5" t="s">
        <v>116</v>
      </c>
      <c r="D63" s="5" t="s">
        <v>11</v>
      </c>
      <c r="E63" s="7">
        <f>SUMIF('Order Details'!$B$2:$B$394,A63,'Order Details'!$I$2:$I$394)</f>
        <v>133.74350000000001</v>
      </c>
      <c r="F63" s="7">
        <f>SUMIF('Order Details'!$B$2:$B$394,A63,'Order Details'!$J$2:$J$394)</f>
        <v>78.243500000000012</v>
      </c>
    </row>
    <row r="64" spans="1:6" x14ac:dyDescent="0.3">
      <c r="A64" s="2" t="s">
        <v>117</v>
      </c>
      <c r="B64" s="3">
        <v>46035.515810185199</v>
      </c>
      <c r="C64" s="2" t="s">
        <v>118</v>
      </c>
      <c r="D64" s="2" t="s">
        <v>11</v>
      </c>
      <c r="E64" s="4">
        <f>SUMIF('Order Details'!$B$2:$B$394,A64,'Order Details'!$I$2:$I$394)</f>
        <v>35.991</v>
      </c>
      <c r="F64" s="4">
        <f>SUMIF('Order Details'!$B$2:$B$394,A64,'Order Details'!$J$2:$J$394)</f>
        <v>18.991</v>
      </c>
    </row>
    <row r="65" spans="1:6" x14ac:dyDescent="0.3">
      <c r="A65" s="5" t="s">
        <v>119</v>
      </c>
      <c r="B65" s="6">
        <v>45669.496446759302</v>
      </c>
      <c r="C65" s="5" t="s">
        <v>59</v>
      </c>
      <c r="D65" s="5" t="s">
        <v>11</v>
      </c>
      <c r="E65" s="7">
        <f>SUMIF('Order Details'!$B$2:$B$394,A65,'Order Details'!$I$2:$I$394)</f>
        <v>8.99</v>
      </c>
      <c r="F65" s="7">
        <f>SUMIF('Order Details'!$B$2:$B$394,A65,'Order Details'!$J$2:$J$394)</f>
        <v>5.99</v>
      </c>
    </row>
    <row r="66" spans="1:6" x14ac:dyDescent="0.3">
      <c r="A66" s="2" t="s">
        <v>120</v>
      </c>
      <c r="B66" s="3">
        <v>46153.095983796302</v>
      </c>
      <c r="C66" s="2" t="s">
        <v>121</v>
      </c>
      <c r="D66" s="2" t="s">
        <v>11</v>
      </c>
      <c r="E66" s="4">
        <f>SUMIF('Order Details'!$B$2:$B$394,A66,'Order Details'!$I$2:$I$394)</f>
        <v>329.46100000000001</v>
      </c>
      <c r="F66" s="4">
        <f>SUMIF('Order Details'!$B$2:$B$394,A66,'Order Details'!$J$2:$J$394)</f>
        <v>161.46100000000001</v>
      </c>
    </row>
    <row r="67" spans="1:6" x14ac:dyDescent="0.3">
      <c r="A67" s="5" t="s">
        <v>122</v>
      </c>
      <c r="B67" s="6">
        <v>46085.077905092599</v>
      </c>
      <c r="C67" s="5" t="s">
        <v>123</v>
      </c>
      <c r="D67" s="5" t="s">
        <v>11</v>
      </c>
      <c r="E67" s="7">
        <f>SUMIF('Order Details'!$B$2:$B$394,A67,'Order Details'!$I$2:$I$394)</f>
        <v>123.91649999999998</v>
      </c>
      <c r="F67" s="7">
        <f>SUMIF('Order Details'!$B$2:$B$394,A67,'Order Details'!$J$2:$J$394)</f>
        <v>76.916499999999985</v>
      </c>
    </row>
    <row r="68" spans="1:6" x14ac:dyDescent="0.3">
      <c r="A68" s="2" t="s">
        <v>124</v>
      </c>
      <c r="B68" s="3">
        <v>46058.614351851902</v>
      </c>
      <c r="C68" s="2" t="s">
        <v>125</v>
      </c>
      <c r="D68" s="2" t="s">
        <v>11</v>
      </c>
      <c r="E68" s="4">
        <f>SUMIF('Order Details'!$B$2:$B$394,A68,'Order Details'!$I$2:$I$394)</f>
        <v>29.741500000000002</v>
      </c>
      <c r="F68" s="4">
        <f>SUMIF('Order Details'!$B$2:$B$394,A68,'Order Details'!$J$2:$J$394)</f>
        <v>15.741500000000002</v>
      </c>
    </row>
    <row r="69" spans="1:6" x14ac:dyDescent="0.3">
      <c r="A69" s="5" t="s">
        <v>126</v>
      </c>
      <c r="B69" s="6">
        <v>46031.699201388903</v>
      </c>
      <c r="C69" s="5" t="s">
        <v>127</v>
      </c>
      <c r="D69" s="5" t="s">
        <v>34</v>
      </c>
      <c r="E69" s="7">
        <f>SUMIF('Order Details'!$B$2:$B$394,A69,'Order Details'!$I$2:$I$394)</f>
        <v>14.231</v>
      </c>
      <c r="F69" s="7">
        <f>SUMIF('Order Details'!$B$2:$B$394,A69,'Order Details'!$J$2:$J$394)</f>
        <v>9.8309999999999995</v>
      </c>
    </row>
    <row r="70" spans="1:6" x14ac:dyDescent="0.3">
      <c r="A70" s="2" t="s">
        <v>128</v>
      </c>
      <c r="B70" s="3">
        <v>45749.869050925903</v>
      </c>
      <c r="C70" s="2" t="s">
        <v>10</v>
      </c>
      <c r="D70" s="2" t="s">
        <v>14</v>
      </c>
      <c r="E70" s="4">
        <f>SUMIF('Order Details'!$B$2:$B$394,A70,'Order Details'!$I$2:$I$394)</f>
        <v>21.49</v>
      </c>
      <c r="F70" s="4">
        <f>SUMIF('Order Details'!$B$2:$B$394,A70,'Order Details'!$J$2:$J$394)</f>
        <v>13.489999999999998</v>
      </c>
    </row>
    <row r="71" spans="1:6" x14ac:dyDescent="0.3">
      <c r="A71" s="5" t="s">
        <v>129</v>
      </c>
      <c r="B71" s="6">
        <v>46191.2606018519</v>
      </c>
      <c r="C71" s="5" t="s">
        <v>130</v>
      </c>
      <c r="D71" s="5" t="s">
        <v>8</v>
      </c>
      <c r="E71" s="7">
        <f>SUMIF('Order Details'!$B$2:$B$394,A71,'Order Details'!$I$2:$I$394)</f>
        <v>80.972999999999999</v>
      </c>
      <c r="F71" s="7">
        <f>SUMIF('Order Details'!$B$2:$B$394,A71,'Order Details'!$J$2:$J$394)</f>
        <v>41.972999999999999</v>
      </c>
    </row>
    <row r="72" spans="1:6" x14ac:dyDescent="0.3">
      <c r="A72" s="2" t="s">
        <v>131</v>
      </c>
      <c r="B72" s="3">
        <v>45966.192129629599</v>
      </c>
      <c r="C72" s="2" t="s">
        <v>125</v>
      </c>
      <c r="D72" s="2" t="s">
        <v>34</v>
      </c>
      <c r="E72" s="4">
        <f>SUMIF('Order Details'!$B$2:$B$394,A72,'Order Details'!$I$2:$I$394)</f>
        <v>37.990499999999997</v>
      </c>
      <c r="F72" s="4">
        <f>SUMIF('Order Details'!$B$2:$B$394,A72,'Order Details'!$J$2:$J$394)</f>
        <v>20.990499999999997</v>
      </c>
    </row>
    <row r="73" spans="1:6" x14ac:dyDescent="0.3">
      <c r="A73" s="5" t="s">
        <v>132</v>
      </c>
      <c r="B73" s="6">
        <v>45746.941076388903</v>
      </c>
      <c r="C73" s="5" t="s">
        <v>20</v>
      </c>
      <c r="D73" s="5" t="s">
        <v>14</v>
      </c>
      <c r="E73" s="7">
        <f>SUMIF('Order Details'!$B$2:$B$394,A73,'Order Details'!$I$2:$I$394)</f>
        <v>91.751499999999993</v>
      </c>
      <c r="F73" s="7">
        <f>SUMIF('Order Details'!$B$2:$B$394,A73,'Order Details'!$J$2:$J$394)</f>
        <v>54.7515</v>
      </c>
    </row>
    <row r="74" spans="1:6" x14ac:dyDescent="0.3">
      <c r="A74" s="2" t="s">
        <v>133</v>
      </c>
      <c r="B74" s="3">
        <v>45818.581898148201</v>
      </c>
      <c r="C74" s="2" t="s">
        <v>134</v>
      </c>
      <c r="D74" s="2" t="s">
        <v>11</v>
      </c>
      <c r="E74" s="4">
        <f>SUMIF('Order Details'!$B$2:$B$394,A74,'Order Details'!$I$2:$I$394)</f>
        <v>59.97</v>
      </c>
      <c r="F74" s="4">
        <f>SUMIF('Order Details'!$B$2:$B$394,A74,'Order Details'!$J$2:$J$394)</f>
        <v>38.97</v>
      </c>
    </row>
    <row r="75" spans="1:6" x14ac:dyDescent="0.3">
      <c r="A75" s="5" t="s">
        <v>135</v>
      </c>
      <c r="B75" s="6">
        <v>45697.491817129601</v>
      </c>
      <c r="C75" s="5" t="s">
        <v>136</v>
      </c>
      <c r="D75" s="5" t="s">
        <v>11</v>
      </c>
      <c r="E75" s="7">
        <f>SUMIF('Order Details'!$B$2:$B$394,A75,'Order Details'!$I$2:$I$394)</f>
        <v>174.7115</v>
      </c>
      <c r="F75" s="7">
        <f>SUMIF('Order Details'!$B$2:$B$394,A75,'Order Details'!$J$2:$J$394)</f>
        <v>101.71149999999999</v>
      </c>
    </row>
    <row r="76" spans="1:6" x14ac:dyDescent="0.3">
      <c r="A76" s="2" t="s">
        <v>137</v>
      </c>
      <c r="B76" s="3">
        <v>46034.677789351903</v>
      </c>
      <c r="C76" s="2" t="s">
        <v>20</v>
      </c>
      <c r="D76" s="2" t="s">
        <v>11</v>
      </c>
      <c r="E76" s="4">
        <f>SUMIF('Order Details'!$B$2:$B$394,A76,'Order Details'!$I$2:$I$394)</f>
        <v>129.97999999999999</v>
      </c>
      <c r="F76" s="4">
        <f>SUMIF('Order Details'!$B$2:$B$394,A76,'Order Details'!$J$2:$J$394)</f>
        <v>65.97999999999999</v>
      </c>
    </row>
    <row r="77" spans="1:6" x14ac:dyDescent="0.3">
      <c r="A77" s="5" t="s">
        <v>138</v>
      </c>
      <c r="B77" s="6">
        <v>46115.938391203701</v>
      </c>
      <c r="C77" s="5" t="s">
        <v>54</v>
      </c>
      <c r="D77" s="5" t="s">
        <v>34</v>
      </c>
      <c r="E77" s="7">
        <f>SUMIF('Order Details'!$B$2:$B$394,A77,'Order Details'!$I$2:$I$394)</f>
        <v>58.980000000000004</v>
      </c>
      <c r="F77" s="7">
        <f>SUMIF('Order Details'!$B$2:$B$394,A77,'Order Details'!$J$2:$J$394)</f>
        <v>34.480000000000004</v>
      </c>
    </row>
    <row r="78" spans="1:6" x14ac:dyDescent="0.3">
      <c r="A78" s="2" t="s">
        <v>139</v>
      </c>
      <c r="B78" s="3">
        <v>46174.773923611101</v>
      </c>
      <c r="C78" s="2" t="s">
        <v>140</v>
      </c>
      <c r="D78" s="2" t="s">
        <v>14</v>
      </c>
      <c r="E78" s="4">
        <f>SUMIF('Order Details'!$B$2:$B$394,A78,'Order Details'!$I$2:$I$394)</f>
        <v>31.491000000000003</v>
      </c>
      <c r="F78" s="4">
        <f>SUMIF('Order Details'!$B$2:$B$394,A78,'Order Details'!$J$2:$J$394)</f>
        <v>16.491000000000003</v>
      </c>
    </row>
    <row r="79" spans="1:6" x14ac:dyDescent="0.3">
      <c r="A79" s="5" t="s">
        <v>141</v>
      </c>
      <c r="B79" s="6">
        <v>45739.082314814797</v>
      </c>
      <c r="C79" s="5" t="s">
        <v>7</v>
      </c>
      <c r="D79" s="5" t="s">
        <v>34</v>
      </c>
      <c r="E79" s="7">
        <f>SUMIF('Order Details'!$B$2:$B$394,A79,'Order Details'!$I$2:$I$394)</f>
        <v>94.455000000000013</v>
      </c>
      <c r="F79" s="7">
        <f>SUMIF('Order Details'!$B$2:$B$394,A79,'Order Details'!$J$2:$J$394)</f>
        <v>46.954999999999998</v>
      </c>
    </row>
    <row r="80" spans="1:6" x14ac:dyDescent="0.3">
      <c r="A80" s="2" t="s">
        <v>142</v>
      </c>
      <c r="B80" s="3">
        <v>45952.250474537002</v>
      </c>
      <c r="C80" s="2" t="s">
        <v>143</v>
      </c>
      <c r="D80" s="2" t="s">
        <v>14</v>
      </c>
      <c r="E80" s="4">
        <f>SUMIF('Order Details'!$B$2:$B$394,A80,'Order Details'!$I$2:$I$394)</f>
        <v>107.0865</v>
      </c>
      <c r="F80" s="4">
        <f>SUMIF('Order Details'!$B$2:$B$394,A80,'Order Details'!$J$2:$J$394)</f>
        <v>60.586499999999994</v>
      </c>
    </row>
    <row r="81" spans="1:6" x14ac:dyDescent="0.3">
      <c r="A81" s="5" t="s">
        <v>144</v>
      </c>
      <c r="B81" s="6">
        <v>45939.692372685196</v>
      </c>
      <c r="C81" s="5" t="s">
        <v>145</v>
      </c>
      <c r="D81" s="5" t="s">
        <v>11</v>
      </c>
      <c r="E81" s="7">
        <f>SUMIF('Order Details'!$B$2:$B$394,A81,'Order Details'!$I$2:$I$394)</f>
        <v>83.470999999999989</v>
      </c>
      <c r="F81" s="7">
        <f>SUMIF('Order Details'!$B$2:$B$394,A81,'Order Details'!$J$2:$J$394)</f>
        <v>47.470999999999997</v>
      </c>
    </row>
    <row r="82" spans="1:6" x14ac:dyDescent="0.3">
      <c r="A82" s="2" t="s">
        <v>146</v>
      </c>
      <c r="B82" s="3">
        <v>45844.6120717593</v>
      </c>
      <c r="C82" s="2" t="s">
        <v>125</v>
      </c>
      <c r="D82" s="2" t="s">
        <v>11</v>
      </c>
      <c r="E82" s="4">
        <f>SUMIF('Order Details'!$B$2:$B$394,A82,'Order Details'!$I$2:$I$394)</f>
        <v>477.15649999999994</v>
      </c>
      <c r="F82" s="4">
        <f>SUMIF('Order Details'!$B$2:$B$394,A82,'Order Details'!$J$2:$J$394)</f>
        <v>265.15649999999999</v>
      </c>
    </row>
    <row r="83" spans="1:6" x14ac:dyDescent="0.3">
      <c r="A83" s="5" t="s">
        <v>147</v>
      </c>
      <c r="B83" s="6">
        <v>45916.812673611101</v>
      </c>
      <c r="C83" s="5" t="s">
        <v>148</v>
      </c>
      <c r="D83" s="5" t="s">
        <v>14</v>
      </c>
      <c r="E83" s="7">
        <f>SUMIF('Order Details'!$B$2:$B$394,A83,'Order Details'!$I$2:$I$394)</f>
        <v>4.8929999999999998</v>
      </c>
      <c r="F83" s="7">
        <f>SUMIF('Order Details'!$B$2:$B$394,A83,'Order Details'!$J$2:$J$394)</f>
        <v>2.8929999999999998</v>
      </c>
    </row>
    <row r="84" spans="1:6" x14ac:dyDescent="0.3">
      <c r="A84" s="2" t="s">
        <v>149</v>
      </c>
      <c r="B84" s="3">
        <v>45807.546504629601</v>
      </c>
      <c r="C84" s="2" t="s">
        <v>150</v>
      </c>
      <c r="D84" s="2" t="s">
        <v>11</v>
      </c>
      <c r="E84" s="4">
        <f>SUMIF('Order Details'!$B$2:$B$394,A84,'Order Details'!$I$2:$I$394)</f>
        <v>20.241</v>
      </c>
      <c r="F84" s="4">
        <f>SUMIF('Order Details'!$B$2:$B$394,A84,'Order Details'!$J$2:$J$394)</f>
        <v>11.241</v>
      </c>
    </row>
    <row r="85" spans="1:6" x14ac:dyDescent="0.3">
      <c r="A85" s="5" t="s">
        <v>151</v>
      </c>
      <c r="B85" s="6">
        <v>45961.782951388901</v>
      </c>
      <c r="C85" s="5" t="s">
        <v>66</v>
      </c>
      <c r="D85" s="5" t="s">
        <v>11</v>
      </c>
      <c r="E85" s="7">
        <f>SUMIF('Order Details'!$B$2:$B$394,A85,'Order Details'!$I$2:$I$394)</f>
        <v>179.94400000000002</v>
      </c>
      <c r="F85" s="7">
        <f>SUMIF('Order Details'!$B$2:$B$394,A85,'Order Details'!$J$2:$J$394)</f>
        <v>101.944</v>
      </c>
    </row>
    <row r="86" spans="1:6" x14ac:dyDescent="0.3">
      <c r="A86" s="2" t="s">
        <v>152</v>
      </c>
      <c r="B86" s="3">
        <v>46100.633645833303</v>
      </c>
      <c r="C86" s="2" t="s">
        <v>153</v>
      </c>
      <c r="D86" s="2" t="s">
        <v>11</v>
      </c>
      <c r="E86" s="4">
        <f>SUMIF('Order Details'!$B$2:$B$394,A86,'Order Details'!$I$2:$I$394)</f>
        <v>119.836</v>
      </c>
      <c r="F86" s="4">
        <f>SUMIF('Order Details'!$B$2:$B$394,A86,'Order Details'!$J$2:$J$394)</f>
        <v>67.835999999999999</v>
      </c>
    </row>
    <row r="87" spans="1:6" x14ac:dyDescent="0.3">
      <c r="A87" s="5" t="s">
        <v>154</v>
      </c>
      <c r="B87" s="6">
        <v>45887.6268865741</v>
      </c>
      <c r="C87" s="5" t="s">
        <v>109</v>
      </c>
      <c r="D87" s="5" t="s">
        <v>14</v>
      </c>
      <c r="E87" s="7">
        <f>SUMIF('Order Details'!$B$2:$B$394,A87,'Order Details'!$I$2:$I$394)</f>
        <v>20.572000000000003</v>
      </c>
      <c r="F87" s="7">
        <f>SUMIF('Order Details'!$B$2:$B$394,A87,'Order Details'!$J$2:$J$394)</f>
        <v>14.572000000000001</v>
      </c>
    </row>
    <row r="88" spans="1:6" x14ac:dyDescent="0.3">
      <c r="A88" s="2" t="s">
        <v>155</v>
      </c>
      <c r="B88" s="3">
        <v>45810.683958333299</v>
      </c>
      <c r="C88" s="2" t="s">
        <v>52</v>
      </c>
      <c r="D88" s="2" t="s">
        <v>11</v>
      </c>
      <c r="E88" s="4">
        <f>SUMIF('Order Details'!$B$2:$B$394,A88,'Order Details'!$I$2:$I$394)</f>
        <v>73.480500000000006</v>
      </c>
      <c r="F88" s="4">
        <f>SUMIF('Order Details'!$B$2:$B$394,A88,'Order Details'!$J$2:$J$394)</f>
        <v>42.980499999999999</v>
      </c>
    </row>
    <row r="89" spans="1:6" x14ac:dyDescent="0.3">
      <c r="A89" s="5" t="s">
        <v>156</v>
      </c>
      <c r="B89" s="6">
        <v>46016.902210648201</v>
      </c>
      <c r="C89" s="5" t="s">
        <v>136</v>
      </c>
      <c r="D89" s="5" t="s">
        <v>14</v>
      </c>
      <c r="E89" s="7">
        <f>SUMIF('Order Details'!$B$2:$B$394,A89,'Order Details'!$I$2:$I$394)</f>
        <v>20.98</v>
      </c>
      <c r="F89" s="7">
        <f>SUMIF('Order Details'!$B$2:$B$394,A89,'Order Details'!$J$2:$J$394)</f>
        <v>13.98</v>
      </c>
    </row>
    <row r="90" spans="1:6" x14ac:dyDescent="0.3">
      <c r="A90" s="2" t="s">
        <v>157</v>
      </c>
      <c r="B90" s="3">
        <v>45703.093333333301</v>
      </c>
      <c r="C90" s="2" t="s">
        <v>43</v>
      </c>
      <c r="D90" s="2" t="s">
        <v>11</v>
      </c>
      <c r="E90" s="4">
        <f>SUMIF('Order Details'!$B$2:$B$394,A90,'Order Details'!$I$2:$I$394)</f>
        <v>21.192</v>
      </c>
      <c r="F90" s="4">
        <f>SUMIF('Order Details'!$B$2:$B$394,A90,'Order Details'!$J$2:$J$394)</f>
        <v>10.692</v>
      </c>
    </row>
    <row r="91" spans="1:6" x14ac:dyDescent="0.3">
      <c r="A91" s="5" t="s">
        <v>158</v>
      </c>
      <c r="B91" s="6">
        <v>45670.929386574098</v>
      </c>
      <c r="C91" s="5" t="s">
        <v>148</v>
      </c>
      <c r="D91" s="5" t="s">
        <v>14</v>
      </c>
      <c r="E91" s="7">
        <f>SUMIF('Order Details'!$B$2:$B$394,A91,'Order Details'!$I$2:$I$394)</f>
        <v>424.69400000000002</v>
      </c>
      <c r="F91" s="7">
        <f>SUMIF('Order Details'!$B$2:$B$394,A91,'Order Details'!$J$2:$J$394)</f>
        <v>179.19400000000002</v>
      </c>
    </row>
    <row r="92" spans="1:6" x14ac:dyDescent="0.3">
      <c r="A92" s="2" t="s">
        <v>159</v>
      </c>
      <c r="B92" s="3">
        <v>45664.569120370397</v>
      </c>
      <c r="C92" s="2" t="s">
        <v>160</v>
      </c>
      <c r="D92" s="2" t="s">
        <v>34</v>
      </c>
      <c r="E92" s="4">
        <f>SUMIF('Order Details'!$B$2:$B$394,A92,'Order Details'!$I$2:$I$394)</f>
        <v>204.97</v>
      </c>
      <c r="F92" s="4">
        <f>SUMIF('Order Details'!$B$2:$B$394,A92,'Order Details'!$J$2:$J$394)</f>
        <v>109.97</v>
      </c>
    </row>
    <row r="93" spans="1:6" x14ac:dyDescent="0.3">
      <c r="A93" s="5" t="s">
        <v>161</v>
      </c>
      <c r="B93" s="6">
        <v>45697.186990740702</v>
      </c>
      <c r="C93" s="5" t="s">
        <v>36</v>
      </c>
      <c r="D93" s="5" t="s">
        <v>11</v>
      </c>
      <c r="E93" s="7">
        <f>SUMIF('Order Details'!$B$2:$B$394,A93,'Order Details'!$I$2:$I$394)</f>
        <v>139.96</v>
      </c>
      <c r="F93" s="7">
        <f>SUMIF('Order Details'!$B$2:$B$394,A93,'Order Details'!$J$2:$J$394)</f>
        <v>81.960000000000008</v>
      </c>
    </row>
    <row r="94" spans="1:6" x14ac:dyDescent="0.3">
      <c r="A94" s="2" t="s">
        <v>162</v>
      </c>
      <c r="B94" s="3">
        <v>45929.4484606482</v>
      </c>
      <c r="C94" s="2" t="s">
        <v>134</v>
      </c>
      <c r="D94" s="2" t="s">
        <v>14</v>
      </c>
      <c r="E94" s="4">
        <f>SUMIF('Order Details'!$B$2:$B$394,A94,'Order Details'!$I$2:$I$394)</f>
        <v>403.14400000000001</v>
      </c>
      <c r="F94" s="4">
        <f>SUMIF('Order Details'!$B$2:$B$394,A94,'Order Details'!$J$2:$J$394)</f>
        <v>196.14399999999995</v>
      </c>
    </row>
    <row r="95" spans="1:6" x14ac:dyDescent="0.3">
      <c r="A95" s="5" t="s">
        <v>163</v>
      </c>
      <c r="B95" s="6">
        <v>45902.575636574104</v>
      </c>
      <c r="C95" s="5" t="s">
        <v>164</v>
      </c>
      <c r="D95" s="5" t="s">
        <v>8</v>
      </c>
      <c r="E95" s="7">
        <f>SUMIF('Order Details'!$B$2:$B$394,A95,'Order Details'!$I$2:$I$394)</f>
        <v>128.21199999999999</v>
      </c>
      <c r="F95" s="7">
        <f>SUMIF('Order Details'!$B$2:$B$394,A95,'Order Details'!$J$2:$J$394)</f>
        <v>74.211999999999989</v>
      </c>
    </row>
    <row r="96" spans="1:6" x14ac:dyDescent="0.3">
      <c r="A96" s="2" t="s">
        <v>165</v>
      </c>
      <c r="B96" s="3">
        <v>45685.663263888899</v>
      </c>
      <c r="C96" s="2" t="s">
        <v>43</v>
      </c>
      <c r="D96" s="2" t="s">
        <v>74</v>
      </c>
      <c r="E96" s="4">
        <f>SUMIF('Order Details'!$B$2:$B$394,A96,'Order Details'!$I$2:$I$394)</f>
        <v>112.47</v>
      </c>
      <c r="F96" s="4">
        <f>SUMIF('Order Details'!$B$2:$B$394,A96,'Order Details'!$J$2:$J$394)</f>
        <v>67.47</v>
      </c>
    </row>
    <row r="97" spans="1:6" x14ac:dyDescent="0.3">
      <c r="A97" s="5" t="s">
        <v>166</v>
      </c>
      <c r="B97" s="6">
        <v>45737.857430555603</v>
      </c>
      <c r="C97" s="5" t="s">
        <v>116</v>
      </c>
      <c r="D97" s="5" t="s">
        <v>8</v>
      </c>
      <c r="E97" s="7">
        <f>SUMIF('Order Details'!$B$2:$B$394,A97,'Order Details'!$I$2:$I$394)</f>
        <v>13.2905</v>
      </c>
      <c r="F97" s="7">
        <f>SUMIF('Order Details'!$B$2:$B$394,A97,'Order Details'!$J$2:$J$394)</f>
        <v>7.7904999999999998</v>
      </c>
    </row>
    <row r="98" spans="1:6" x14ac:dyDescent="0.3">
      <c r="A98" s="2" t="s">
        <v>167</v>
      </c>
      <c r="B98" s="3">
        <v>46011.215173611097</v>
      </c>
      <c r="C98" s="2" t="s">
        <v>130</v>
      </c>
      <c r="D98" s="2" t="s">
        <v>14</v>
      </c>
      <c r="E98" s="4">
        <f>SUMIF('Order Details'!$B$2:$B$394,A98,'Order Details'!$I$2:$I$394)</f>
        <v>66.480999999999995</v>
      </c>
      <c r="F98" s="4">
        <f>SUMIF('Order Details'!$B$2:$B$394,A98,'Order Details'!$J$2:$J$394)</f>
        <v>36.480999999999995</v>
      </c>
    </row>
    <row r="99" spans="1:6" x14ac:dyDescent="0.3">
      <c r="A99" s="5" t="s">
        <v>168</v>
      </c>
      <c r="B99" s="6">
        <v>45705.099756944401</v>
      </c>
      <c r="C99" s="5" t="s">
        <v>169</v>
      </c>
      <c r="D99" s="5" t="s">
        <v>34</v>
      </c>
      <c r="E99" s="7">
        <f>SUMIF('Order Details'!$B$2:$B$394,A99,'Order Details'!$I$2:$I$394)</f>
        <v>137.6995</v>
      </c>
      <c r="F99" s="7">
        <f>SUMIF('Order Details'!$B$2:$B$394,A99,'Order Details'!$J$2:$J$394)</f>
        <v>76.6995</v>
      </c>
    </row>
    <row r="100" spans="1:6" x14ac:dyDescent="0.3">
      <c r="A100" s="2" t="s">
        <v>170</v>
      </c>
      <c r="B100" s="3">
        <v>45692.052222222199</v>
      </c>
      <c r="C100" s="2" t="s">
        <v>171</v>
      </c>
      <c r="D100" s="2" t="s">
        <v>8</v>
      </c>
      <c r="E100" s="4">
        <f>SUMIF('Order Details'!$B$2:$B$394,A100,'Order Details'!$I$2:$I$394)</f>
        <v>226.45249999999999</v>
      </c>
      <c r="F100" s="4">
        <f>SUMIF('Order Details'!$B$2:$B$394,A100,'Order Details'!$J$2:$J$394)</f>
        <v>116.45249999999999</v>
      </c>
    </row>
    <row r="101" spans="1:6" x14ac:dyDescent="0.3">
      <c r="A101" s="5" t="s">
        <v>172</v>
      </c>
      <c r="B101" s="6">
        <v>45959.484143518501</v>
      </c>
      <c r="C101" s="5" t="s">
        <v>59</v>
      </c>
      <c r="D101" s="5" t="s">
        <v>11</v>
      </c>
      <c r="E101" s="7">
        <f>SUMIF('Order Details'!$B$2:$B$394,A101,'Order Details'!$I$2:$I$394)</f>
        <v>13.49</v>
      </c>
      <c r="F101" s="7">
        <f>SUMIF('Order Details'!$B$2:$B$394,A101,'Order Details'!$J$2:$J$394)</f>
        <v>8.99</v>
      </c>
    </row>
    <row r="102" spans="1:6" x14ac:dyDescent="0.3">
      <c r="A102" s="2" t="s">
        <v>173</v>
      </c>
      <c r="B102" s="3">
        <v>45986.913263888899</v>
      </c>
      <c r="C102" s="2" t="s">
        <v>68</v>
      </c>
      <c r="D102" s="2" t="s">
        <v>11</v>
      </c>
      <c r="E102" s="4">
        <f>SUMIF('Order Details'!$B$2:$B$394,A102,'Order Details'!$I$2:$I$394)</f>
        <v>140.94</v>
      </c>
      <c r="F102" s="4">
        <f>SUMIF('Order Details'!$B$2:$B$394,A102,'Order Details'!$J$2:$J$394)</f>
        <v>82.44</v>
      </c>
    </row>
    <row r="103" spans="1:6" x14ac:dyDescent="0.3">
      <c r="A103" s="5" t="s">
        <v>174</v>
      </c>
      <c r="B103" s="6">
        <v>45879.1378819444</v>
      </c>
      <c r="C103" s="5" t="s">
        <v>175</v>
      </c>
      <c r="D103" s="5" t="s">
        <v>14</v>
      </c>
      <c r="E103" s="7">
        <f>SUMIF('Order Details'!$B$2:$B$394,A103,'Order Details'!$I$2:$I$394)</f>
        <v>11.49</v>
      </c>
      <c r="F103" s="7">
        <f>SUMIF('Order Details'!$B$2:$B$394,A103,'Order Details'!$J$2:$J$394)</f>
        <v>7.99</v>
      </c>
    </row>
    <row r="104" spans="1:6" x14ac:dyDescent="0.3">
      <c r="A104" s="2" t="s">
        <v>176</v>
      </c>
      <c r="B104" s="3">
        <v>45662.527627314797</v>
      </c>
      <c r="C104" s="2" t="s">
        <v>66</v>
      </c>
      <c r="D104" s="2" t="s">
        <v>11</v>
      </c>
      <c r="E104" s="4">
        <f>SUMIF('Order Details'!$B$2:$B$394,A104,'Order Details'!$I$2:$I$394)</f>
        <v>87.364999999999995</v>
      </c>
      <c r="F104" s="4">
        <f>SUMIF('Order Details'!$B$2:$B$394,A104,'Order Details'!$J$2:$J$394)</f>
        <v>46.364999999999995</v>
      </c>
    </row>
    <row r="105" spans="1:6" x14ac:dyDescent="0.3">
      <c r="A105" s="5" t="s">
        <v>177</v>
      </c>
      <c r="B105" s="6">
        <v>45948.325729166703</v>
      </c>
      <c r="C105" s="5" t="s">
        <v>130</v>
      </c>
      <c r="D105" s="5" t="s">
        <v>8</v>
      </c>
      <c r="E105" s="7">
        <f>SUMIF('Order Details'!$B$2:$B$394,A105,'Order Details'!$I$2:$I$394)</f>
        <v>33.240499999999997</v>
      </c>
      <c r="F105" s="7">
        <f>SUMIF('Order Details'!$B$2:$B$394,A105,'Order Details'!$J$2:$J$394)</f>
        <v>19.240499999999997</v>
      </c>
    </row>
    <row r="106" spans="1:6" x14ac:dyDescent="0.3">
      <c r="A106" s="2" t="s">
        <v>178</v>
      </c>
      <c r="B106" s="3">
        <v>46160.851435185199</v>
      </c>
      <c r="C106" s="2" t="s">
        <v>97</v>
      </c>
      <c r="D106" s="2" t="s">
        <v>34</v>
      </c>
      <c r="E106" s="4">
        <f>SUMIF('Order Details'!$B$2:$B$394,A106,'Order Details'!$I$2:$I$394)</f>
        <v>123.44999999999999</v>
      </c>
      <c r="F106" s="4">
        <f>SUMIF('Order Details'!$B$2:$B$394,A106,'Order Details'!$J$2:$J$394)</f>
        <v>74.949999999999989</v>
      </c>
    </row>
    <row r="107" spans="1:6" x14ac:dyDescent="0.3">
      <c r="A107" s="5" t="s">
        <v>179</v>
      </c>
      <c r="B107" s="6">
        <v>46038.312685185199</v>
      </c>
      <c r="C107" s="5" t="s">
        <v>105</v>
      </c>
      <c r="D107" s="5" t="s">
        <v>11</v>
      </c>
      <c r="E107" s="7">
        <f>SUMIF('Order Details'!$B$2:$B$394,A107,'Order Details'!$I$2:$I$394)</f>
        <v>49.98</v>
      </c>
      <c r="F107" s="7">
        <f>SUMIF('Order Details'!$B$2:$B$394,A107,'Order Details'!$J$2:$J$394)</f>
        <v>30.979999999999997</v>
      </c>
    </row>
    <row r="108" spans="1:6" x14ac:dyDescent="0.3">
      <c r="A108" s="2" t="s">
        <v>180</v>
      </c>
      <c r="B108" s="3">
        <v>46129.192476851902</v>
      </c>
      <c r="C108" s="2" t="s">
        <v>36</v>
      </c>
      <c r="D108" s="2" t="s">
        <v>11</v>
      </c>
      <c r="E108" s="4">
        <f>SUMIF('Order Details'!$B$2:$B$394,A108,'Order Details'!$I$2:$I$394)</f>
        <v>73.164000000000001</v>
      </c>
      <c r="F108" s="4">
        <f>SUMIF('Order Details'!$B$2:$B$394,A108,'Order Details'!$J$2:$J$394)</f>
        <v>43.164000000000001</v>
      </c>
    </row>
    <row r="109" spans="1:6" x14ac:dyDescent="0.3">
      <c r="A109" s="5" t="s">
        <v>181</v>
      </c>
      <c r="B109" s="6">
        <v>45831.702615740702</v>
      </c>
      <c r="C109" s="5" t="s">
        <v>47</v>
      </c>
      <c r="D109" s="5" t="s">
        <v>11</v>
      </c>
      <c r="E109" s="7">
        <f>SUMIF('Order Details'!$B$2:$B$394,A109,'Order Details'!$I$2:$I$394)</f>
        <v>97.962499999999991</v>
      </c>
      <c r="F109" s="7">
        <f>SUMIF('Order Details'!$B$2:$B$394,A109,'Order Details'!$J$2:$J$394)</f>
        <v>54.462499999999991</v>
      </c>
    </row>
    <row r="110" spans="1:6" x14ac:dyDescent="0.3">
      <c r="A110" s="2" t="s">
        <v>182</v>
      </c>
      <c r="B110" s="3">
        <v>45816.236631944397</v>
      </c>
      <c r="C110" s="2" t="s">
        <v>183</v>
      </c>
      <c r="D110" s="2" t="s">
        <v>74</v>
      </c>
      <c r="E110" s="4">
        <f>SUMIF('Order Details'!$B$2:$B$394,A110,'Order Details'!$I$2:$I$394)</f>
        <v>66.44</v>
      </c>
      <c r="F110" s="4">
        <f>SUMIF('Order Details'!$B$2:$B$394,A110,'Order Details'!$J$2:$J$394)</f>
        <v>43.940000000000005</v>
      </c>
    </row>
    <row r="111" spans="1:6" x14ac:dyDescent="0.3">
      <c r="A111" s="5" t="s">
        <v>184</v>
      </c>
      <c r="B111" s="6">
        <v>45826.998055555603</v>
      </c>
      <c r="C111" s="5" t="s">
        <v>148</v>
      </c>
      <c r="D111" s="5" t="s">
        <v>11</v>
      </c>
      <c r="E111" s="7">
        <f>SUMIF('Order Details'!$B$2:$B$394,A111,'Order Details'!$I$2:$I$394)</f>
        <v>512.97300000000007</v>
      </c>
      <c r="F111" s="7">
        <f>SUMIF('Order Details'!$B$2:$B$394,A111,'Order Details'!$J$2:$J$394)</f>
        <v>182.97300000000007</v>
      </c>
    </row>
    <row r="112" spans="1:6" x14ac:dyDescent="0.3">
      <c r="A112" s="2" t="s">
        <v>185</v>
      </c>
      <c r="B112" s="3">
        <v>45938.297627314802</v>
      </c>
      <c r="C112" s="2" t="s">
        <v>33</v>
      </c>
      <c r="D112" s="2" t="s">
        <v>11</v>
      </c>
      <c r="E112" s="4">
        <f>SUMIF('Order Details'!$B$2:$B$394,A112,'Order Details'!$I$2:$I$394)</f>
        <v>83.952999999999989</v>
      </c>
      <c r="F112" s="4">
        <f>SUMIF('Order Details'!$B$2:$B$394,A112,'Order Details'!$J$2:$J$394)</f>
        <v>47.452999999999989</v>
      </c>
    </row>
    <row r="113" spans="1:6" x14ac:dyDescent="0.3">
      <c r="A113" s="5" t="s">
        <v>186</v>
      </c>
      <c r="B113" s="6">
        <v>46132.0335416667</v>
      </c>
      <c r="C113" s="5" t="s">
        <v>153</v>
      </c>
      <c r="D113" s="5" t="s">
        <v>11</v>
      </c>
      <c r="E113" s="7">
        <f>SUMIF('Order Details'!$B$2:$B$394,A113,'Order Details'!$I$2:$I$394)</f>
        <v>117.72450000000001</v>
      </c>
      <c r="F113" s="7">
        <f>SUMIF('Order Details'!$B$2:$B$394,A113,'Order Details'!$J$2:$J$394)</f>
        <v>59.724499999999999</v>
      </c>
    </row>
    <row r="114" spans="1:6" x14ac:dyDescent="0.3">
      <c r="A114" s="2" t="s">
        <v>187</v>
      </c>
      <c r="B114" s="3">
        <v>45892.989837963003</v>
      </c>
      <c r="C114" s="2" t="s">
        <v>90</v>
      </c>
      <c r="D114" s="2" t="s">
        <v>8</v>
      </c>
      <c r="E114" s="4">
        <f>SUMIF('Order Details'!$B$2:$B$394,A114,'Order Details'!$I$2:$I$394)</f>
        <v>126.95099999999999</v>
      </c>
      <c r="F114" s="4">
        <f>SUMIF('Order Details'!$B$2:$B$394,A114,'Order Details'!$J$2:$J$394)</f>
        <v>74.450999999999993</v>
      </c>
    </row>
    <row r="115" spans="1:6" x14ac:dyDescent="0.3">
      <c r="A115" s="5" t="s">
        <v>188</v>
      </c>
      <c r="B115" s="6">
        <v>45906.607013888897</v>
      </c>
      <c r="C115" s="5" t="s">
        <v>90</v>
      </c>
      <c r="D115" s="5" t="s">
        <v>14</v>
      </c>
      <c r="E115" s="7">
        <f>SUMIF('Order Details'!$B$2:$B$394,A115,'Order Details'!$I$2:$I$394)</f>
        <v>72.736500000000007</v>
      </c>
      <c r="F115" s="7">
        <f>SUMIF('Order Details'!$B$2:$B$394,A115,'Order Details'!$J$2:$J$394)</f>
        <v>45.236499999999999</v>
      </c>
    </row>
    <row r="116" spans="1:6" x14ac:dyDescent="0.3">
      <c r="A116" s="2" t="s">
        <v>189</v>
      </c>
      <c r="B116" s="3">
        <v>45993.0161226852</v>
      </c>
      <c r="C116" s="2" t="s">
        <v>29</v>
      </c>
      <c r="D116" s="2" t="s">
        <v>11</v>
      </c>
      <c r="E116" s="4">
        <f>SUMIF('Order Details'!$B$2:$B$394,A116,'Order Details'!$I$2:$I$394)</f>
        <v>72.274000000000001</v>
      </c>
      <c r="F116" s="4">
        <f>SUMIF('Order Details'!$B$2:$B$394,A116,'Order Details'!$J$2:$J$394)</f>
        <v>37.274000000000001</v>
      </c>
    </row>
    <row r="117" spans="1:6" x14ac:dyDescent="0.3">
      <c r="A117" s="5" t="s">
        <v>190</v>
      </c>
      <c r="B117" s="6">
        <v>46189.528240740699</v>
      </c>
      <c r="C117" s="5" t="s">
        <v>125</v>
      </c>
      <c r="D117" s="5" t="s">
        <v>11</v>
      </c>
      <c r="E117" s="7">
        <f>SUMIF('Order Details'!$B$2:$B$394,A117,'Order Details'!$I$2:$I$394)</f>
        <v>60.213999999999999</v>
      </c>
      <c r="F117" s="7">
        <f>SUMIF('Order Details'!$B$2:$B$394,A117,'Order Details'!$J$2:$J$394)</f>
        <v>37.213999999999999</v>
      </c>
    </row>
    <row r="118" spans="1:6" x14ac:dyDescent="0.3">
      <c r="A118" s="2" t="s">
        <v>191</v>
      </c>
      <c r="B118" s="3">
        <v>46009.622511574104</v>
      </c>
      <c r="C118" s="2" t="s">
        <v>134</v>
      </c>
      <c r="D118" s="2" t="s">
        <v>14</v>
      </c>
      <c r="E118" s="4">
        <f>SUMIF('Order Details'!$B$2:$B$394,A118,'Order Details'!$I$2:$I$394)</f>
        <v>28.583999999999996</v>
      </c>
      <c r="F118" s="4">
        <f>SUMIF('Order Details'!$B$2:$B$394,A118,'Order Details'!$J$2:$J$394)</f>
        <v>15.083999999999996</v>
      </c>
    </row>
    <row r="119" spans="1:6" x14ac:dyDescent="0.3">
      <c r="A119" s="5" t="s">
        <v>192</v>
      </c>
      <c r="B119" s="6">
        <v>45715.382986111101</v>
      </c>
      <c r="C119" s="5" t="s">
        <v>18</v>
      </c>
      <c r="D119" s="5" t="s">
        <v>11</v>
      </c>
      <c r="E119" s="7">
        <f>SUMIF('Order Details'!$B$2:$B$394,A119,'Order Details'!$I$2:$I$394)</f>
        <v>51.991999999999997</v>
      </c>
      <c r="F119" s="7">
        <f>SUMIF('Order Details'!$B$2:$B$394,A119,'Order Details'!$J$2:$J$394)</f>
        <v>19.991999999999997</v>
      </c>
    </row>
    <row r="120" spans="1:6" x14ac:dyDescent="0.3">
      <c r="A120" s="2" t="s">
        <v>193</v>
      </c>
      <c r="B120" s="3">
        <v>45929.165740740696</v>
      </c>
      <c r="C120" s="2" t="s">
        <v>18</v>
      </c>
      <c r="D120" s="2" t="s">
        <v>11</v>
      </c>
      <c r="E120" s="4">
        <f>SUMIF('Order Details'!$B$2:$B$394,A120,'Order Details'!$I$2:$I$394)</f>
        <v>64.45</v>
      </c>
      <c r="F120" s="4">
        <f>SUMIF('Order Details'!$B$2:$B$394,A120,'Order Details'!$J$2:$J$394)</f>
        <v>37.950000000000003</v>
      </c>
    </row>
    <row r="121" spans="1:6" x14ac:dyDescent="0.3">
      <c r="A121" s="5" t="s">
        <v>194</v>
      </c>
      <c r="B121" s="6">
        <v>45855.711724537003</v>
      </c>
      <c r="C121" s="5" t="s">
        <v>169</v>
      </c>
      <c r="D121" s="5" t="s">
        <v>14</v>
      </c>
      <c r="E121" s="7">
        <f>SUMIF('Order Details'!$B$2:$B$394,A121,'Order Details'!$I$2:$I$394)</f>
        <v>363.45299999999997</v>
      </c>
      <c r="F121" s="7">
        <f>SUMIF('Order Details'!$B$2:$B$394,A121,'Order Details'!$J$2:$J$394)</f>
        <v>129.953</v>
      </c>
    </row>
    <row r="122" spans="1:6" x14ac:dyDescent="0.3">
      <c r="A122" s="2" t="s">
        <v>195</v>
      </c>
      <c r="B122" s="3">
        <v>45786.712094907401</v>
      </c>
      <c r="C122" s="2" t="s">
        <v>153</v>
      </c>
      <c r="D122" s="2" t="s">
        <v>11</v>
      </c>
      <c r="E122" s="4">
        <f>SUMIF('Order Details'!$B$2:$B$394,A122,'Order Details'!$I$2:$I$394)</f>
        <v>177.43899999999999</v>
      </c>
      <c r="F122" s="4">
        <f>SUMIF('Order Details'!$B$2:$B$394,A122,'Order Details'!$J$2:$J$394)</f>
        <v>94.438999999999993</v>
      </c>
    </row>
    <row r="123" spans="1:6" x14ac:dyDescent="0.3">
      <c r="A123" s="5" t="s">
        <v>196</v>
      </c>
      <c r="B123" s="6">
        <v>45908.992743055598</v>
      </c>
      <c r="C123" s="5" t="s">
        <v>18</v>
      </c>
      <c r="D123" s="5" t="s">
        <v>11</v>
      </c>
      <c r="E123" s="7">
        <f>SUMIF('Order Details'!$B$2:$B$394,A123,'Order Details'!$I$2:$I$394)</f>
        <v>27.874000000000002</v>
      </c>
      <c r="F123" s="7">
        <f>SUMIF('Order Details'!$B$2:$B$394,A123,'Order Details'!$J$2:$J$394)</f>
        <v>17.874000000000002</v>
      </c>
    </row>
    <row r="124" spans="1:6" x14ac:dyDescent="0.3">
      <c r="A124" s="2" t="s">
        <v>197</v>
      </c>
      <c r="B124" s="3">
        <v>45716.129363425898</v>
      </c>
      <c r="C124" s="2" t="s">
        <v>20</v>
      </c>
      <c r="D124" s="2" t="s">
        <v>34</v>
      </c>
      <c r="E124" s="4">
        <f>SUMIF('Order Details'!$B$2:$B$394,A124,'Order Details'!$I$2:$I$394)</f>
        <v>105.352</v>
      </c>
      <c r="F124" s="4">
        <f>SUMIF('Order Details'!$B$2:$B$394,A124,'Order Details'!$J$2:$J$394)</f>
        <v>62.852000000000004</v>
      </c>
    </row>
    <row r="125" spans="1:6" x14ac:dyDescent="0.3">
      <c r="A125" s="5" t="s">
        <v>198</v>
      </c>
      <c r="B125" s="6">
        <v>45804.354432870401</v>
      </c>
      <c r="C125" s="5" t="s">
        <v>16</v>
      </c>
      <c r="D125" s="5" t="s">
        <v>11</v>
      </c>
      <c r="E125" s="7">
        <f>SUMIF('Order Details'!$B$2:$B$394,A125,'Order Details'!$I$2:$I$394)</f>
        <v>690.33050000000003</v>
      </c>
      <c r="F125" s="7">
        <f>SUMIF('Order Details'!$B$2:$B$394,A125,'Order Details'!$J$2:$J$394)</f>
        <v>248.33050000000006</v>
      </c>
    </row>
    <row r="126" spans="1:6" x14ac:dyDescent="0.3">
      <c r="A126" s="2" t="s">
        <v>199</v>
      </c>
      <c r="B126" s="3">
        <v>45750.832094907397</v>
      </c>
      <c r="C126" s="2" t="s">
        <v>103</v>
      </c>
      <c r="D126" s="2" t="s">
        <v>34</v>
      </c>
      <c r="E126" s="4">
        <f>SUMIF('Order Details'!$B$2:$B$394,A126,'Order Details'!$I$2:$I$394)</f>
        <v>125.95299999999999</v>
      </c>
      <c r="F126" s="4">
        <f>SUMIF('Order Details'!$B$2:$B$394,A126,'Order Details'!$J$2:$J$394)</f>
        <v>69.953000000000003</v>
      </c>
    </row>
    <row r="127" spans="1:6" x14ac:dyDescent="0.3">
      <c r="A127" s="5" t="s">
        <v>200</v>
      </c>
      <c r="B127" s="6">
        <v>45897.211377314801</v>
      </c>
      <c r="C127" s="5" t="s">
        <v>90</v>
      </c>
      <c r="D127" s="5" t="s">
        <v>11</v>
      </c>
      <c r="E127" s="7">
        <f>SUMIF('Order Details'!$B$2:$B$394,A127,'Order Details'!$I$2:$I$394)</f>
        <v>193.95400000000001</v>
      </c>
      <c r="F127" s="7">
        <f>SUMIF('Order Details'!$B$2:$B$394,A127,'Order Details'!$J$2:$J$394)</f>
        <v>105.95400000000001</v>
      </c>
    </row>
    <row r="128" spans="1:6" x14ac:dyDescent="0.3">
      <c r="A128" s="2" t="s">
        <v>201</v>
      </c>
      <c r="B128" s="3">
        <v>45664.2432638889</v>
      </c>
      <c r="C128" s="2" t="s">
        <v>164</v>
      </c>
      <c r="D128" s="2" t="s">
        <v>34</v>
      </c>
      <c r="E128" s="4">
        <f>SUMIF('Order Details'!$B$2:$B$394,A128,'Order Details'!$I$2:$I$394)</f>
        <v>53.772999999999996</v>
      </c>
      <c r="F128" s="4">
        <f>SUMIF('Order Details'!$B$2:$B$394,A128,'Order Details'!$J$2:$J$394)</f>
        <v>31.773</v>
      </c>
    </row>
    <row r="129" spans="1:6" x14ac:dyDescent="0.3">
      <c r="A129" s="5" t="s">
        <v>202</v>
      </c>
      <c r="B129" s="6">
        <v>45842.966412037</v>
      </c>
      <c r="C129" s="5" t="s">
        <v>25</v>
      </c>
      <c r="D129" s="5" t="s">
        <v>11</v>
      </c>
      <c r="E129" s="7">
        <f>SUMIF('Order Details'!$B$2:$B$394,A129,'Order Details'!$I$2:$I$394)</f>
        <v>50.798499999999997</v>
      </c>
      <c r="F129" s="7">
        <f>SUMIF('Order Details'!$B$2:$B$394,A129,'Order Details'!$J$2:$J$394)</f>
        <v>30.298499999999997</v>
      </c>
    </row>
    <row r="130" spans="1:6" x14ac:dyDescent="0.3">
      <c r="A130" s="2" t="s">
        <v>203</v>
      </c>
      <c r="B130" s="3">
        <v>46180.734502314801</v>
      </c>
      <c r="C130" s="2" t="s">
        <v>16</v>
      </c>
      <c r="D130" s="2" t="s">
        <v>11</v>
      </c>
      <c r="E130" s="4">
        <f>SUMIF('Order Details'!$B$2:$B$394,A130,'Order Details'!$I$2:$I$394)</f>
        <v>41.022000000000006</v>
      </c>
      <c r="F130" s="4">
        <f>SUMIF('Order Details'!$B$2:$B$394,A130,'Order Details'!$J$2:$J$394)</f>
        <v>25.021999999999998</v>
      </c>
    </row>
    <row r="131" spans="1:6" x14ac:dyDescent="0.3">
      <c r="A131" s="5" t="s">
        <v>204</v>
      </c>
      <c r="B131" s="6">
        <v>45873.431064814802</v>
      </c>
      <c r="C131" s="5" t="s">
        <v>205</v>
      </c>
      <c r="D131" s="5" t="s">
        <v>11</v>
      </c>
      <c r="E131" s="7">
        <f>SUMIF('Order Details'!$B$2:$B$394,A131,'Order Details'!$I$2:$I$394)</f>
        <v>54.99</v>
      </c>
      <c r="F131" s="7">
        <f>SUMIF('Order Details'!$B$2:$B$394,A131,'Order Details'!$J$2:$J$394)</f>
        <v>32.99</v>
      </c>
    </row>
    <row r="132" spans="1:6" x14ac:dyDescent="0.3">
      <c r="A132" s="2" t="s">
        <v>206</v>
      </c>
      <c r="B132" s="3">
        <v>46163.612465277802</v>
      </c>
      <c r="C132" s="2" t="s">
        <v>18</v>
      </c>
      <c r="D132" s="2" t="s">
        <v>11</v>
      </c>
      <c r="E132" s="4">
        <f>SUMIF('Order Details'!$B$2:$B$394,A132,'Order Details'!$I$2:$I$394)</f>
        <v>47.267000000000003</v>
      </c>
      <c r="F132" s="4">
        <f>SUMIF('Order Details'!$B$2:$B$394,A132,'Order Details'!$J$2:$J$394)</f>
        <v>28.766999999999996</v>
      </c>
    </row>
    <row r="133" spans="1:6" x14ac:dyDescent="0.3">
      <c r="A133" s="5" t="s">
        <v>207</v>
      </c>
      <c r="B133" s="6">
        <v>46073.827384259297</v>
      </c>
      <c r="C133" s="5" t="s">
        <v>127</v>
      </c>
      <c r="D133" s="5" t="s">
        <v>14</v>
      </c>
      <c r="E133" s="7">
        <f>SUMIF('Order Details'!$B$2:$B$394,A133,'Order Details'!$I$2:$I$394)</f>
        <v>27.49</v>
      </c>
      <c r="F133" s="7">
        <f>SUMIF('Order Details'!$B$2:$B$394,A133,'Order Details'!$J$2:$J$394)</f>
        <v>16.489999999999998</v>
      </c>
    </row>
    <row r="134" spans="1:6" x14ac:dyDescent="0.3">
      <c r="A134" s="2" t="s">
        <v>208</v>
      </c>
      <c r="B134" s="3">
        <v>45719.7597916667</v>
      </c>
      <c r="C134" s="2" t="s">
        <v>101</v>
      </c>
      <c r="D134" s="2" t="s">
        <v>8</v>
      </c>
      <c r="E134" s="4">
        <f>SUMIF('Order Details'!$B$2:$B$394,A134,'Order Details'!$I$2:$I$394)</f>
        <v>358.16400000000004</v>
      </c>
      <c r="F134" s="4">
        <f>SUMIF('Order Details'!$B$2:$B$394,A134,'Order Details'!$J$2:$J$394)</f>
        <v>132.16400000000004</v>
      </c>
    </row>
    <row r="135" spans="1:6" x14ac:dyDescent="0.3">
      <c r="A135" s="5" t="s">
        <v>209</v>
      </c>
      <c r="B135" s="6">
        <v>45698.961180555598</v>
      </c>
      <c r="C135" s="5" t="s">
        <v>210</v>
      </c>
      <c r="D135" s="5" t="s">
        <v>11</v>
      </c>
      <c r="E135" s="7">
        <f>SUMIF('Order Details'!$B$2:$B$394,A135,'Order Details'!$I$2:$I$394)</f>
        <v>134.6035</v>
      </c>
      <c r="F135" s="7">
        <f>SUMIF('Order Details'!$B$2:$B$394,A135,'Order Details'!$J$2:$J$394)</f>
        <v>76.103499999999997</v>
      </c>
    </row>
    <row r="136" spans="1:6" x14ac:dyDescent="0.3">
      <c r="A136" s="2" t="s">
        <v>211</v>
      </c>
      <c r="B136" s="3">
        <v>45974.852719907401</v>
      </c>
      <c r="C136" s="2" t="s">
        <v>70</v>
      </c>
      <c r="D136" s="2" t="s">
        <v>14</v>
      </c>
      <c r="E136" s="4">
        <f>SUMIF('Order Details'!$B$2:$B$394,A136,'Order Details'!$I$2:$I$394)</f>
        <v>81.56450000000001</v>
      </c>
      <c r="F136" s="4">
        <f>SUMIF('Order Details'!$B$2:$B$394,A136,'Order Details'!$J$2:$J$394)</f>
        <v>45.064499999999995</v>
      </c>
    </row>
    <row r="137" spans="1:6" x14ac:dyDescent="0.3">
      <c r="A137" s="5" t="s">
        <v>212</v>
      </c>
      <c r="B137" s="6">
        <v>45779.638773148101</v>
      </c>
      <c r="C137" s="5" t="s">
        <v>213</v>
      </c>
      <c r="D137" s="5" t="s">
        <v>14</v>
      </c>
      <c r="E137" s="7">
        <f>SUMIF('Order Details'!$B$2:$B$394,A137,'Order Details'!$I$2:$I$394)</f>
        <v>280.42700000000002</v>
      </c>
      <c r="F137" s="7">
        <f>SUMIF('Order Details'!$B$2:$B$394,A137,'Order Details'!$J$2:$J$394)</f>
        <v>139.92700000000002</v>
      </c>
    </row>
    <row r="138" spans="1:6" x14ac:dyDescent="0.3">
      <c r="A138" s="2" t="s">
        <v>214</v>
      </c>
      <c r="B138" s="3">
        <v>45762.125798611101</v>
      </c>
      <c r="C138" s="2" t="s">
        <v>205</v>
      </c>
      <c r="D138" s="2" t="s">
        <v>14</v>
      </c>
      <c r="E138" s="4">
        <f>SUMIF('Order Details'!$B$2:$B$394,A138,'Order Details'!$I$2:$I$394)</f>
        <v>379.98</v>
      </c>
      <c r="F138" s="4">
        <f>SUMIF('Order Details'!$B$2:$B$394,A138,'Order Details'!$J$2:$J$394)</f>
        <v>159.98000000000002</v>
      </c>
    </row>
    <row r="139" spans="1:6" x14ac:dyDescent="0.3">
      <c r="A139" s="5" t="s">
        <v>215</v>
      </c>
      <c r="B139" s="6">
        <v>45782.133703703701</v>
      </c>
      <c r="C139" s="5" t="s">
        <v>216</v>
      </c>
      <c r="D139" s="5" t="s">
        <v>11</v>
      </c>
      <c r="E139" s="7">
        <f>SUMIF('Order Details'!$B$2:$B$394,A139,'Order Details'!$I$2:$I$394)</f>
        <v>35.991</v>
      </c>
      <c r="F139" s="7">
        <f>SUMIF('Order Details'!$B$2:$B$394,A139,'Order Details'!$J$2:$J$394)</f>
        <v>18.991</v>
      </c>
    </row>
    <row r="140" spans="1:6" x14ac:dyDescent="0.3">
      <c r="A140" s="2" t="s">
        <v>217</v>
      </c>
      <c r="B140" s="3">
        <v>46119.2843055556</v>
      </c>
      <c r="C140" s="2" t="s">
        <v>52</v>
      </c>
      <c r="D140" s="2" t="s">
        <v>8</v>
      </c>
      <c r="E140" s="4">
        <f>SUMIF('Order Details'!$B$2:$B$394,A140,'Order Details'!$I$2:$I$394)</f>
        <v>84.983000000000004</v>
      </c>
      <c r="F140" s="4">
        <f>SUMIF('Order Details'!$B$2:$B$394,A140,'Order Details'!$J$2:$J$394)</f>
        <v>40.983000000000004</v>
      </c>
    </row>
    <row r="141" spans="1:6" x14ac:dyDescent="0.3">
      <c r="A141" s="5" t="s">
        <v>218</v>
      </c>
      <c r="B141" s="6">
        <v>45958.953634259298</v>
      </c>
      <c r="C141" s="5" t="s">
        <v>97</v>
      </c>
      <c r="D141" s="5" t="s">
        <v>14</v>
      </c>
      <c r="E141" s="7">
        <f>SUMIF('Order Details'!$B$2:$B$394,A141,'Order Details'!$I$2:$I$394)</f>
        <v>219.95000000000002</v>
      </c>
      <c r="F141" s="7">
        <f>SUMIF('Order Details'!$B$2:$B$394,A141,'Order Details'!$J$2:$J$394)</f>
        <v>130.95000000000002</v>
      </c>
    </row>
    <row r="142" spans="1:6" x14ac:dyDescent="0.3">
      <c r="A142" s="2" t="s">
        <v>219</v>
      </c>
      <c r="B142" s="3">
        <v>45739.590046296304</v>
      </c>
      <c r="C142" s="2" t="s">
        <v>183</v>
      </c>
      <c r="D142" s="2" t="s">
        <v>11</v>
      </c>
      <c r="E142" s="4">
        <f>SUMIF('Order Details'!$B$2:$B$394,A142,'Order Details'!$I$2:$I$394)</f>
        <v>177.94400000000002</v>
      </c>
      <c r="F142" s="4">
        <f>SUMIF('Order Details'!$B$2:$B$394,A142,'Order Details'!$J$2:$J$394)</f>
        <v>97.944000000000003</v>
      </c>
    </row>
    <row r="143" spans="1:6" x14ac:dyDescent="0.3">
      <c r="A143" s="5" t="s">
        <v>220</v>
      </c>
      <c r="B143" s="6">
        <v>45828.2198263889</v>
      </c>
      <c r="C143" s="5" t="s">
        <v>101</v>
      </c>
      <c r="D143" s="5" t="s">
        <v>74</v>
      </c>
      <c r="E143" s="7">
        <f>SUMIF('Order Details'!$B$2:$B$394,A143,'Order Details'!$I$2:$I$394)</f>
        <v>10.1915</v>
      </c>
      <c r="F143" s="7">
        <f>SUMIF('Order Details'!$B$2:$B$394,A143,'Order Details'!$J$2:$J$394)</f>
        <v>6.1914999999999996</v>
      </c>
    </row>
    <row r="144" spans="1:6" x14ac:dyDescent="0.3">
      <c r="A144" s="2" t="s">
        <v>221</v>
      </c>
      <c r="B144" s="3">
        <v>46052.686840277798</v>
      </c>
      <c r="C144" s="2" t="s">
        <v>160</v>
      </c>
      <c r="D144" s="2" t="s">
        <v>8</v>
      </c>
      <c r="E144" s="4">
        <f>SUMIF('Order Details'!$B$2:$B$394,A144,'Order Details'!$I$2:$I$394)</f>
        <v>149.25649999999999</v>
      </c>
      <c r="F144" s="4">
        <f>SUMIF('Order Details'!$B$2:$B$394,A144,'Order Details'!$J$2:$J$394)</f>
        <v>77.756499999999988</v>
      </c>
    </row>
    <row r="145" spans="1:6" x14ac:dyDescent="0.3">
      <c r="A145" s="5" t="s">
        <v>222</v>
      </c>
      <c r="B145" s="6">
        <v>45812.9119444444</v>
      </c>
      <c r="C145" s="5" t="s">
        <v>216</v>
      </c>
      <c r="D145" s="5" t="s">
        <v>34</v>
      </c>
      <c r="E145" s="7">
        <f>SUMIF('Order Details'!$B$2:$B$394,A145,'Order Details'!$I$2:$I$394)</f>
        <v>161.46</v>
      </c>
      <c r="F145" s="7">
        <f>SUMIF('Order Details'!$B$2:$B$394,A145,'Order Details'!$J$2:$J$394)</f>
        <v>96.96</v>
      </c>
    </row>
    <row r="146" spans="1:6" x14ac:dyDescent="0.3">
      <c r="A146" s="2" t="s">
        <v>223</v>
      </c>
      <c r="B146" s="3">
        <v>45948.002546296302</v>
      </c>
      <c r="C146" s="2" t="s">
        <v>114</v>
      </c>
      <c r="D146" s="2" t="s">
        <v>11</v>
      </c>
      <c r="E146" s="4">
        <f>SUMIF('Order Details'!$B$2:$B$394,A146,'Order Details'!$I$2:$I$394)</f>
        <v>59.483000000000004</v>
      </c>
      <c r="F146" s="4">
        <f>SUMIF('Order Details'!$B$2:$B$394,A146,'Order Details'!$J$2:$J$394)</f>
        <v>31.483000000000004</v>
      </c>
    </row>
    <row r="147" spans="1:6" x14ac:dyDescent="0.3">
      <c r="A147" s="5" t="s">
        <v>224</v>
      </c>
      <c r="B147" s="6">
        <v>45953.213391203702</v>
      </c>
      <c r="C147" s="5" t="s">
        <v>213</v>
      </c>
      <c r="D147" s="5" t="s">
        <v>34</v>
      </c>
      <c r="E147" s="7">
        <f>SUMIF('Order Details'!$B$2:$B$394,A147,'Order Details'!$I$2:$I$394)</f>
        <v>433.42750000000001</v>
      </c>
      <c r="F147" s="7">
        <f>SUMIF('Order Details'!$B$2:$B$394,A147,'Order Details'!$J$2:$J$394)</f>
        <v>178.42750000000004</v>
      </c>
    </row>
    <row r="148" spans="1:6" x14ac:dyDescent="0.3">
      <c r="A148" s="2" t="s">
        <v>225</v>
      </c>
      <c r="B148" s="3">
        <v>46154.579108796301</v>
      </c>
      <c r="C148" s="2" t="s">
        <v>226</v>
      </c>
      <c r="D148" s="2" t="s">
        <v>11</v>
      </c>
      <c r="E148" s="4">
        <f>SUMIF('Order Details'!$B$2:$B$394,A148,'Order Details'!$I$2:$I$394)</f>
        <v>110.45400000000001</v>
      </c>
      <c r="F148" s="4">
        <f>SUMIF('Order Details'!$B$2:$B$394,A148,'Order Details'!$J$2:$J$394)</f>
        <v>61.454000000000008</v>
      </c>
    </row>
    <row r="149" spans="1:6" x14ac:dyDescent="0.3">
      <c r="A149" s="5" t="s">
        <v>227</v>
      </c>
      <c r="B149" s="6">
        <v>46128.8200462963</v>
      </c>
      <c r="C149" s="5" t="s">
        <v>20</v>
      </c>
      <c r="D149" s="5" t="s">
        <v>11</v>
      </c>
      <c r="E149" s="7">
        <f>SUMIF('Order Details'!$B$2:$B$394,A149,'Order Details'!$I$2:$I$394)</f>
        <v>86.397499999999994</v>
      </c>
      <c r="F149" s="7">
        <f>SUMIF('Order Details'!$B$2:$B$394,A149,'Order Details'!$J$2:$J$394)</f>
        <v>46.897499999999994</v>
      </c>
    </row>
    <row r="150" spans="1:6" x14ac:dyDescent="0.3">
      <c r="A150" s="2" t="s">
        <v>228</v>
      </c>
      <c r="B150" s="3">
        <v>45851.322662036997</v>
      </c>
      <c r="C150" s="2" t="s">
        <v>125</v>
      </c>
      <c r="D150" s="2" t="s">
        <v>11</v>
      </c>
      <c r="E150" s="4">
        <f>SUMIF('Order Details'!$B$2:$B$394,A150,'Order Details'!$I$2:$I$394)</f>
        <v>28.490499999999997</v>
      </c>
      <c r="F150" s="4">
        <f>SUMIF('Order Details'!$B$2:$B$394,A150,'Order Details'!$J$2:$J$394)</f>
        <v>16.490499999999997</v>
      </c>
    </row>
    <row r="151" spans="1:6" x14ac:dyDescent="0.3">
      <c r="A151" s="5" t="s">
        <v>229</v>
      </c>
      <c r="B151" s="6">
        <v>46070.784629629597</v>
      </c>
      <c r="C151" s="5" t="s">
        <v>18</v>
      </c>
      <c r="D151" s="5" t="s">
        <v>34</v>
      </c>
      <c r="E151" s="7">
        <f>SUMIF('Order Details'!$B$2:$B$394,A151,'Order Details'!$I$2:$I$394)</f>
        <v>29.99</v>
      </c>
      <c r="F151" s="7">
        <f>SUMIF('Order Details'!$B$2:$B$394,A151,'Order Details'!$J$2:$J$394)</f>
        <v>16.989999999999998</v>
      </c>
    </row>
    <row r="152" spans="1:6" x14ac:dyDescent="0.3">
      <c r="A152" s="2" t="s">
        <v>230</v>
      </c>
      <c r="B152" s="3">
        <v>45741.236886574101</v>
      </c>
      <c r="C152" s="2" t="s">
        <v>57</v>
      </c>
      <c r="D152" s="2" t="s">
        <v>11</v>
      </c>
      <c r="E152" s="4">
        <f>SUMIF('Order Details'!$B$2:$B$394,A152,'Order Details'!$I$2:$I$394)</f>
        <v>59.98</v>
      </c>
      <c r="F152" s="4">
        <f>SUMIF('Order Details'!$B$2:$B$394,A152,'Order Details'!$J$2:$J$394)</f>
        <v>34.979999999999997</v>
      </c>
    </row>
    <row r="153" spans="1:6" x14ac:dyDescent="0.3">
      <c r="A153" s="5" t="s">
        <v>231</v>
      </c>
      <c r="B153" s="6">
        <v>45867.857835648101</v>
      </c>
      <c r="C153" s="5" t="s">
        <v>118</v>
      </c>
      <c r="D153" s="5" t="s">
        <v>11</v>
      </c>
      <c r="E153" s="7">
        <f>SUMIF('Order Details'!$B$2:$B$394,A153,'Order Details'!$I$2:$I$394)</f>
        <v>68.480500000000006</v>
      </c>
      <c r="F153" s="7">
        <f>SUMIF('Order Details'!$B$2:$B$394,A153,'Order Details'!$J$2:$J$394)</f>
        <v>40.480499999999999</v>
      </c>
    </row>
    <row r="154" spans="1:6" x14ac:dyDescent="0.3">
      <c r="A154" s="2" t="s">
        <v>232</v>
      </c>
      <c r="B154" s="3">
        <v>45792.385312500002</v>
      </c>
      <c r="C154" s="2" t="s">
        <v>103</v>
      </c>
      <c r="D154" s="2" t="s">
        <v>34</v>
      </c>
      <c r="E154" s="4">
        <f>SUMIF('Order Details'!$B$2:$B$394,A154,'Order Details'!$I$2:$I$394)</f>
        <v>18.989999999999998</v>
      </c>
      <c r="F154" s="4">
        <f>SUMIF('Order Details'!$B$2:$B$394,A154,'Order Details'!$J$2:$J$394)</f>
        <v>11.489999999999998</v>
      </c>
    </row>
    <row r="155" spans="1:6" x14ac:dyDescent="0.3">
      <c r="A155" s="5" t="s">
        <v>233</v>
      </c>
      <c r="B155" s="6">
        <v>46036.6952199074</v>
      </c>
      <c r="C155" s="5" t="s">
        <v>118</v>
      </c>
      <c r="D155" s="5" t="s">
        <v>11</v>
      </c>
      <c r="E155" s="7">
        <f>SUMIF('Order Details'!$B$2:$B$394,A155,'Order Details'!$I$2:$I$394)</f>
        <v>147.12099999999998</v>
      </c>
      <c r="F155" s="7">
        <f>SUMIF('Order Details'!$B$2:$B$394,A155,'Order Details'!$J$2:$J$394)</f>
        <v>88.620999999999995</v>
      </c>
    </row>
    <row r="156" spans="1:6" x14ac:dyDescent="0.3">
      <c r="A156" s="2" t="s">
        <v>234</v>
      </c>
      <c r="B156" s="3">
        <v>46060.277106481502</v>
      </c>
      <c r="C156" s="2" t="s">
        <v>49</v>
      </c>
      <c r="D156" s="2" t="s">
        <v>11</v>
      </c>
      <c r="E156" s="4">
        <f>SUMIF('Order Details'!$B$2:$B$394,A156,'Order Details'!$I$2:$I$394)</f>
        <v>132.44999999999999</v>
      </c>
      <c r="F156" s="4">
        <f>SUMIF('Order Details'!$B$2:$B$394,A156,'Order Details'!$J$2:$J$394)</f>
        <v>79.949999999999989</v>
      </c>
    </row>
    <row r="157" spans="1:6" x14ac:dyDescent="0.3">
      <c r="A157" s="5" t="s">
        <v>235</v>
      </c>
      <c r="B157" s="6">
        <v>45920.534004629597</v>
      </c>
      <c r="C157" s="5" t="s">
        <v>118</v>
      </c>
      <c r="D157" s="5" t="s">
        <v>11</v>
      </c>
      <c r="E157" s="7">
        <f>SUMIF('Order Details'!$B$2:$B$394,A157,'Order Details'!$I$2:$I$394)</f>
        <v>26.772500000000001</v>
      </c>
      <c r="F157" s="7">
        <f>SUMIF('Order Details'!$B$2:$B$394,A157,'Order Details'!$J$2:$J$394)</f>
        <v>16.872500000000002</v>
      </c>
    </row>
    <row r="158" spans="1:6" x14ac:dyDescent="0.3">
      <c r="A158" s="2" t="s">
        <v>236</v>
      </c>
      <c r="B158" s="3">
        <v>45715.153298611098</v>
      </c>
      <c r="C158" s="2" t="s">
        <v>160</v>
      </c>
      <c r="D158" s="2" t="s">
        <v>11</v>
      </c>
      <c r="E158" s="4">
        <f>SUMIF('Order Details'!$B$2:$B$394,A158,'Order Details'!$I$2:$I$394)</f>
        <v>115.20050000000001</v>
      </c>
      <c r="F158" s="4">
        <f>SUMIF('Order Details'!$B$2:$B$394,A158,'Order Details'!$J$2:$J$394)</f>
        <v>70.200500000000005</v>
      </c>
    </row>
    <row r="159" spans="1:6" x14ac:dyDescent="0.3">
      <c r="A159" s="5" t="s">
        <v>237</v>
      </c>
      <c r="B159" s="6">
        <v>46041.730162036998</v>
      </c>
      <c r="C159" s="5" t="s">
        <v>13</v>
      </c>
      <c r="D159" s="5" t="s">
        <v>11</v>
      </c>
      <c r="E159" s="7">
        <f>SUMIF('Order Details'!$B$2:$B$394,A159,'Order Details'!$I$2:$I$394)</f>
        <v>645.96600000000001</v>
      </c>
      <c r="F159" s="7">
        <f>SUMIF('Order Details'!$B$2:$B$394,A159,'Order Details'!$J$2:$J$394)</f>
        <v>205.96600000000001</v>
      </c>
    </row>
    <row r="160" spans="1:6" x14ac:dyDescent="0.3">
      <c r="A160" s="2" t="s">
        <v>238</v>
      </c>
      <c r="B160" s="3">
        <v>45857.054629629602</v>
      </c>
      <c r="C160" s="2" t="s">
        <v>57</v>
      </c>
      <c r="D160" s="2" t="s">
        <v>11</v>
      </c>
      <c r="E160" s="4">
        <f>SUMIF('Order Details'!$B$2:$B$394,A160,'Order Details'!$I$2:$I$394)</f>
        <v>204.71600000000001</v>
      </c>
      <c r="F160" s="4">
        <f>SUMIF('Order Details'!$B$2:$B$394,A160,'Order Details'!$J$2:$J$394)</f>
        <v>115.71600000000001</v>
      </c>
    </row>
    <row r="161" spans="1:6" x14ac:dyDescent="0.3">
      <c r="A161" s="5" t="s">
        <v>239</v>
      </c>
      <c r="B161" s="6">
        <v>46121.515451388899</v>
      </c>
      <c r="C161" s="5" t="s">
        <v>25</v>
      </c>
      <c r="D161" s="5" t="s">
        <v>11</v>
      </c>
      <c r="E161" s="7">
        <f>SUMIF('Order Details'!$B$2:$B$394,A161,'Order Details'!$I$2:$I$394)</f>
        <v>109.98</v>
      </c>
      <c r="F161" s="7">
        <f>SUMIF('Order Details'!$B$2:$B$394,A161,'Order Details'!$J$2:$J$394)</f>
        <v>57.980000000000004</v>
      </c>
    </row>
    <row r="162" spans="1:6" x14ac:dyDescent="0.3">
      <c r="A162" s="2" t="s">
        <v>240</v>
      </c>
      <c r="B162" s="3">
        <v>45716.273425925901</v>
      </c>
      <c r="C162" s="2" t="s">
        <v>73</v>
      </c>
      <c r="D162" s="2" t="s">
        <v>14</v>
      </c>
      <c r="E162" s="4">
        <f>SUMIF('Order Details'!$B$2:$B$394,A162,'Order Details'!$I$2:$I$394)</f>
        <v>774.95</v>
      </c>
      <c r="F162" s="4">
        <f>SUMIF('Order Details'!$B$2:$B$394,A162,'Order Details'!$J$2:$J$394)</f>
        <v>329.45000000000005</v>
      </c>
    </row>
    <row r="163" spans="1:6" x14ac:dyDescent="0.3">
      <c r="A163" s="5" t="s">
        <v>241</v>
      </c>
      <c r="B163" s="6">
        <v>45961.5074537037</v>
      </c>
      <c r="C163" s="5" t="s">
        <v>27</v>
      </c>
      <c r="D163" s="5" t="s">
        <v>34</v>
      </c>
      <c r="E163" s="7">
        <f>SUMIF('Order Details'!$B$2:$B$394,A163,'Order Details'!$I$2:$I$394)</f>
        <v>21.992000000000001</v>
      </c>
      <c r="F163" s="7">
        <f>SUMIF('Order Details'!$B$2:$B$394,A163,'Order Details'!$J$2:$J$394)</f>
        <v>10.992000000000001</v>
      </c>
    </row>
    <row r="164" spans="1:6" x14ac:dyDescent="0.3">
      <c r="A164" s="2" t="s">
        <v>242</v>
      </c>
      <c r="B164" s="3">
        <v>45815.778923611098</v>
      </c>
      <c r="C164" s="2" t="s">
        <v>171</v>
      </c>
      <c r="D164" s="2" t="s">
        <v>11</v>
      </c>
      <c r="E164" s="4">
        <f>SUMIF('Order Details'!$B$2:$B$394,A164,'Order Details'!$I$2:$I$394)</f>
        <v>90.973000000000013</v>
      </c>
      <c r="F164" s="4">
        <f>SUMIF('Order Details'!$B$2:$B$394,A164,'Order Details'!$J$2:$J$394)</f>
        <v>48.973000000000006</v>
      </c>
    </row>
    <row r="165" spans="1:6" x14ac:dyDescent="0.3">
      <c r="A165" s="5" t="s">
        <v>243</v>
      </c>
      <c r="B165" s="6">
        <v>45901.148009259297</v>
      </c>
      <c r="C165" s="5" t="s">
        <v>54</v>
      </c>
      <c r="D165" s="5" t="s">
        <v>11</v>
      </c>
      <c r="E165" s="7">
        <f>SUMIF('Order Details'!$B$2:$B$394,A165,'Order Details'!$I$2:$I$394)</f>
        <v>31.491000000000003</v>
      </c>
      <c r="F165" s="7">
        <f>SUMIF('Order Details'!$B$2:$B$394,A165,'Order Details'!$J$2:$J$394)</f>
        <v>17.491000000000003</v>
      </c>
    </row>
    <row r="166" spans="1:6" x14ac:dyDescent="0.3">
      <c r="A166" s="2" t="s">
        <v>244</v>
      </c>
      <c r="B166" s="3">
        <v>45805.970613425903</v>
      </c>
      <c r="C166" s="2" t="s">
        <v>153</v>
      </c>
      <c r="D166" s="2" t="s">
        <v>11</v>
      </c>
      <c r="E166" s="4">
        <f>SUMIF('Order Details'!$B$2:$B$394,A166,'Order Details'!$I$2:$I$394)</f>
        <v>179.441</v>
      </c>
      <c r="F166" s="4">
        <f>SUMIF('Order Details'!$B$2:$B$394,A166,'Order Details'!$J$2:$J$394)</f>
        <v>104.441</v>
      </c>
    </row>
    <row r="167" spans="1:6" x14ac:dyDescent="0.3">
      <c r="A167" s="5" t="s">
        <v>245</v>
      </c>
      <c r="B167" s="6">
        <v>45881.419976851903</v>
      </c>
      <c r="C167" s="5" t="s">
        <v>246</v>
      </c>
      <c r="D167" s="5" t="s">
        <v>14</v>
      </c>
      <c r="E167" s="7">
        <f>SUMIF('Order Details'!$B$2:$B$394,A167,'Order Details'!$I$2:$I$394)</f>
        <v>37.979999999999997</v>
      </c>
      <c r="F167" s="7">
        <f>SUMIF('Order Details'!$B$2:$B$394,A167,'Order Details'!$J$2:$J$394)</f>
        <v>22.979999999999997</v>
      </c>
    </row>
    <row r="168" spans="1:6" x14ac:dyDescent="0.3">
      <c r="A168" s="2" t="s">
        <v>247</v>
      </c>
      <c r="B168" s="3">
        <v>45859.911203703698</v>
      </c>
      <c r="C168" s="2" t="s">
        <v>76</v>
      </c>
      <c r="D168" s="2" t="s">
        <v>11</v>
      </c>
      <c r="E168" s="4">
        <f>SUMIF('Order Details'!$B$2:$B$394,A168,'Order Details'!$I$2:$I$394)</f>
        <v>25.182000000000002</v>
      </c>
      <c r="F168" s="4">
        <f>SUMIF('Order Details'!$B$2:$B$394,A168,'Order Details'!$J$2:$J$394)</f>
        <v>15.182000000000002</v>
      </c>
    </row>
    <row r="169" spans="1:6" x14ac:dyDescent="0.3">
      <c r="A169" s="5" t="s">
        <v>248</v>
      </c>
      <c r="B169" s="6">
        <v>45868.207893518498</v>
      </c>
      <c r="C169" s="5" t="s">
        <v>76</v>
      </c>
      <c r="D169" s="5" t="s">
        <v>14</v>
      </c>
      <c r="E169" s="7">
        <f>SUMIF('Order Details'!$B$2:$B$394,A169,'Order Details'!$I$2:$I$394)</f>
        <v>62.470999999999997</v>
      </c>
      <c r="F169" s="7">
        <f>SUMIF('Order Details'!$B$2:$B$394,A169,'Order Details'!$J$2:$J$394)</f>
        <v>36.470999999999997</v>
      </c>
    </row>
    <row r="170" spans="1:6" x14ac:dyDescent="0.3">
      <c r="A170" s="2" t="s">
        <v>249</v>
      </c>
      <c r="B170" s="3">
        <v>46188.527384259301</v>
      </c>
      <c r="C170" s="2" t="s">
        <v>250</v>
      </c>
      <c r="D170" s="2" t="s">
        <v>11</v>
      </c>
      <c r="E170" s="4">
        <f>SUMIF('Order Details'!$B$2:$B$394,A170,'Order Details'!$I$2:$I$394)</f>
        <v>183.2225</v>
      </c>
      <c r="F170" s="4">
        <f>SUMIF('Order Details'!$B$2:$B$394,A170,'Order Details'!$J$2:$J$394)</f>
        <v>83.222499999999997</v>
      </c>
    </row>
    <row r="171" spans="1:6" x14ac:dyDescent="0.3">
      <c r="A171" s="5" t="s">
        <v>251</v>
      </c>
      <c r="B171" s="6">
        <v>45695.248009259303</v>
      </c>
      <c r="C171" s="5" t="s">
        <v>61</v>
      </c>
      <c r="D171" s="5" t="s">
        <v>14</v>
      </c>
      <c r="E171" s="7">
        <f>SUMIF('Order Details'!$B$2:$B$394,A171,'Order Details'!$I$2:$I$394)</f>
        <v>156.95999999999998</v>
      </c>
      <c r="F171" s="7">
        <f>SUMIF('Order Details'!$B$2:$B$394,A171,'Order Details'!$J$2:$J$394)</f>
        <v>83.96</v>
      </c>
    </row>
    <row r="172" spans="1:6" x14ac:dyDescent="0.3">
      <c r="A172" s="2" t="s">
        <v>252</v>
      </c>
      <c r="B172" s="3">
        <v>45986.5785763889</v>
      </c>
      <c r="C172" s="2" t="s">
        <v>52</v>
      </c>
      <c r="D172" s="2" t="s">
        <v>14</v>
      </c>
      <c r="E172" s="4">
        <f>SUMIF('Order Details'!$B$2:$B$394,A172,'Order Details'!$I$2:$I$394)</f>
        <v>82.463499999999996</v>
      </c>
      <c r="F172" s="4">
        <f>SUMIF('Order Details'!$B$2:$B$394,A172,'Order Details'!$J$2:$J$394)</f>
        <v>47.963499999999989</v>
      </c>
    </row>
    <row r="173" spans="1:6" x14ac:dyDescent="0.3">
      <c r="A173" s="5" t="s">
        <v>253</v>
      </c>
      <c r="B173" s="6">
        <v>45844.254675925898</v>
      </c>
      <c r="C173" s="5" t="s">
        <v>73</v>
      </c>
      <c r="D173" s="5" t="s">
        <v>11</v>
      </c>
      <c r="E173" s="7">
        <f>SUMIF('Order Details'!$B$2:$B$394,A173,'Order Details'!$I$2:$I$394)</f>
        <v>11.192</v>
      </c>
      <c r="F173" s="7">
        <f>SUMIF('Order Details'!$B$2:$B$394,A173,'Order Details'!$J$2:$J$394)</f>
        <v>5.6920000000000002</v>
      </c>
    </row>
    <row r="174" spans="1:6" x14ac:dyDescent="0.3">
      <c r="A174" s="2" t="s">
        <v>254</v>
      </c>
      <c r="B174" s="3">
        <v>45925.026828703703</v>
      </c>
      <c r="C174" s="2" t="s">
        <v>255</v>
      </c>
      <c r="D174" s="2" t="s">
        <v>34</v>
      </c>
      <c r="E174" s="4">
        <f>SUMIF('Order Details'!$B$2:$B$394,A174,'Order Details'!$I$2:$I$394)</f>
        <v>60.480000000000004</v>
      </c>
      <c r="F174" s="4">
        <f>SUMIF('Order Details'!$B$2:$B$394,A174,'Order Details'!$J$2:$J$394)</f>
        <v>36.980000000000004</v>
      </c>
    </row>
    <row r="175" spans="1:6" x14ac:dyDescent="0.3">
      <c r="A175" s="5" t="s">
        <v>256</v>
      </c>
      <c r="B175" s="6">
        <v>45704.414166666698</v>
      </c>
      <c r="C175" s="5" t="s">
        <v>76</v>
      </c>
      <c r="D175" s="5" t="s">
        <v>11</v>
      </c>
      <c r="E175" s="7">
        <f>SUMIF('Order Details'!$B$2:$B$394,A175,'Order Details'!$I$2:$I$394)</f>
        <v>61.480000000000004</v>
      </c>
      <c r="F175" s="7">
        <f>SUMIF('Order Details'!$B$2:$B$394,A175,'Order Details'!$J$2:$J$394)</f>
        <v>37.480000000000004</v>
      </c>
    </row>
    <row r="176" spans="1:6" x14ac:dyDescent="0.3">
      <c r="A176" s="2" t="s">
        <v>257</v>
      </c>
      <c r="B176" s="3">
        <v>45890.344409722202</v>
      </c>
      <c r="C176" s="2" t="s">
        <v>258</v>
      </c>
      <c r="D176" s="2" t="s">
        <v>11</v>
      </c>
      <c r="E176" s="4">
        <f>SUMIF('Order Details'!$B$2:$B$394,A176,'Order Details'!$I$2:$I$394)</f>
        <v>182.45150000000001</v>
      </c>
      <c r="F176" s="4">
        <f>SUMIF('Order Details'!$B$2:$B$394,A176,'Order Details'!$J$2:$J$394)</f>
        <v>108.45150000000001</v>
      </c>
    </row>
    <row r="177" spans="1:6" x14ac:dyDescent="0.3">
      <c r="A177" s="5" t="s">
        <v>259</v>
      </c>
      <c r="B177" s="6">
        <v>46196.054918981499</v>
      </c>
      <c r="C177" s="5" t="s">
        <v>90</v>
      </c>
      <c r="D177" s="5" t="s">
        <v>11</v>
      </c>
      <c r="E177" s="7">
        <f>SUMIF('Order Details'!$B$2:$B$394,A177,'Order Details'!$I$2:$I$394)</f>
        <v>280.08349999999996</v>
      </c>
      <c r="F177" s="7">
        <f>SUMIF('Order Details'!$B$2:$B$394,A177,'Order Details'!$J$2:$J$394)</f>
        <v>144.08350000000002</v>
      </c>
    </row>
    <row r="178" spans="1:6" x14ac:dyDescent="0.3">
      <c r="A178" s="2" t="s">
        <v>260</v>
      </c>
      <c r="B178" s="3">
        <v>45990.784872685203</v>
      </c>
      <c r="C178" s="2" t="s">
        <v>66</v>
      </c>
      <c r="D178" s="2" t="s">
        <v>11</v>
      </c>
      <c r="E178" s="4">
        <f>SUMIF('Order Details'!$B$2:$B$394,A178,'Order Details'!$I$2:$I$394)</f>
        <v>75.054000000000002</v>
      </c>
      <c r="F178" s="4">
        <f>SUMIF('Order Details'!$B$2:$B$394,A178,'Order Details'!$J$2:$J$394)</f>
        <v>46.554000000000002</v>
      </c>
    </row>
    <row r="179" spans="1:6" x14ac:dyDescent="0.3">
      <c r="A179" s="5" t="s">
        <v>261</v>
      </c>
      <c r="B179" s="6">
        <v>45728.4920486111</v>
      </c>
      <c r="C179" s="5" t="s">
        <v>29</v>
      </c>
      <c r="D179" s="5" t="s">
        <v>11</v>
      </c>
      <c r="E179" s="7">
        <f>SUMIF('Order Details'!$B$2:$B$394,A179,'Order Details'!$I$2:$I$394)</f>
        <v>65.168000000000006</v>
      </c>
      <c r="F179" s="7">
        <f>SUMIF('Order Details'!$B$2:$B$394,A179,'Order Details'!$J$2:$J$394)</f>
        <v>32.667999999999999</v>
      </c>
    </row>
    <row r="180" spans="1:6" x14ac:dyDescent="0.3">
      <c r="A180" s="2" t="s">
        <v>262</v>
      </c>
      <c r="B180" s="3">
        <v>45699.052141203698</v>
      </c>
      <c r="C180" s="2" t="s">
        <v>213</v>
      </c>
      <c r="D180" s="2" t="s">
        <v>34</v>
      </c>
      <c r="E180" s="4">
        <f>SUMIF('Order Details'!$B$2:$B$394,A180,'Order Details'!$I$2:$I$394)</f>
        <v>50.302499999999995</v>
      </c>
      <c r="F180" s="4">
        <f>SUMIF('Order Details'!$B$2:$B$394,A180,'Order Details'!$J$2:$J$394)</f>
        <v>32.302499999999995</v>
      </c>
    </row>
    <row r="181" spans="1:6" x14ac:dyDescent="0.3">
      <c r="A181" s="5" t="s">
        <v>263</v>
      </c>
      <c r="B181" s="6">
        <v>45782.789317129602</v>
      </c>
      <c r="C181" s="5" t="s">
        <v>31</v>
      </c>
      <c r="D181" s="5" t="s">
        <v>11</v>
      </c>
      <c r="E181" s="7">
        <f>SUMIF('Order Details'!$B$2:$B$394,A181,'Order Details'!$I$2:$I$394)</f>
        <v>27.99</v>
      </c>
      <c r="F181" s="7">
        <f>SUMIF('Order Details'!$B$2:$B$394,A181,'Order Details'!$J$2:$J$394)</f>
        <v>15.989999999999998</v>
      </c>
    </row>
    <row r="182" spans="1:6" x14ac:dyDescent="0.3">
      <c r="A182" s="2" t="s">
        <v>264</v>
      </c>
      <c r="B182" s="3">
        <v>45781.091527777797</v>
      </c>
      <c r="C182" s="2" t="s">
        <v>265</v>
      </c>
      <c r="D182" s="2" t="s">
        <v>14</v>
      </c>
      <c r="E182" s="4">
        <f>SUMIF('Order Details'!$B$2:$B$394,A182,'Order Details'!$I$2:$I$394)</f>
        <v>498.82250000000005</v>
      </c>
      <c r="F182" s="4">
        <f>SUMIF('Order Details'!$B$2:$B$394,A182,'Order Details'!$J$2:$J$394)</f>
        <v>210.32250000000005</v>
      </c>
    </row>
    <row r="183" spans="1:6" x14ac:dyDescent="0.3">
      <c r="A183" s="5" t="s">
        <v>266</v>
      </c>
      <c r="B183" s="6">
        <v>45952.688946759299</v>
      </c>
      <c r="C183" s="5" t="s">
        <v>267</v>
      </c>
      <c r="D183" s="5" t="s">
        <v>14</v>
      </c>
      <c r="E183" s="7">
        <f>SUMIF('Order Details'!$B$2:$B$394,A183,'Order Details'!$I$2:$I$394)</f>
        <v>53.531499999999994</v>
      </c>
      <c r="F183" s="7">
        <f>SUMIF('Order Details'!$B$2:$B$394,A183,'Order Details'!$J$2:$J$394)</f>
        <v>31.531499999999998</v>
      </c>
    </row>
    <row r="184" spans="1:6" x14ac:dyDescent="0.3">
      <c r="A184" s="2" t="s">
        <v>268</v>
      </c>
      <c r="B184" s="3">
        <v>46147.7114351852</v>
      </c>
      <c r="C184" s="2" t="s">
        <v>145</v>
      </c>
      <c r="D184" s="2" t="s">
        <v>34</v>
      </c>
      <c r="E184" s="4">
        <f>SUMIF('Order Details'!$B$2:$B$394,A184,'Order Details'!$I$2:$I$394)</f>
        <v>61.74049999999999</v>
      </c>
      <c r="F184" s="4">
        <f>SUMIF('Order Details'!$B$2:$B$394,A184,'Order Details'!$J$2:$J$394)</f>
        <v>33.74049999999999</v>
      </c>
    </row>
    <row r="185" spans="1:6" x14ac:dyDescent="0.3">
      <c r="A185" s="5" t="s">
        <v>269</v>
      </c>
      <c r="B185" s="6">
        <v>46063.0180092593</v>
      </c>
      <c r="C185" s="5" t="s">
        <v>20</v>
      </c>
      <c r="D185" s="5" t="s">
        <v>8</v>
      </c>
      <c r="E185" s="7">
        <f>SUMIF('Order Details'!$B$2:$B$394,A185,'Order Details'!$I$2:$I$394)</f>
        <v>26.49</v>
      </c>
      <c r="F185" s="7">
        <f>SUMIF('Order Details'!$B$2:$B$394,A185,'Order Details'!$J$2:$J$394)</f>
        <v>15.989999999999998</v>
      </c>
    </row>
    <row r="186" spans="1:6" x14ac:dyDescent="0.3">
      <c r="A186" s="2" t="s">
        <v>270</v>
      </c>
      <c r="B186" s="3">
        <v>45949.327893518501</v>
      </c>
      <c r="C186" s="2" t="s">
        <v>27</v>
      </c>
      <c r="D186" s="2" t="s">
        <v>11</v>
      </c>
      <c r="E186" s="4">
        <f>SUMIF('Order Details'!$B$2:$B$394,A186,'Order Details'!$I$2:$I$394)</f>
        <v>303.43100000000004</v>
      </c>
      <c r="F186" s="4">
        <f>SUMIF('Order Details'!$B$2:$B$394,A186,'Order Details'!$J$2:$J$394)</f>
        <v>172.93099999999998</v>
      </c>
    </row>
    <row r="187" spans="1:6" x14ac:dyDescent="0.3">
      <c r="A187" s="5" t="s">
        <v>271</v>
      </c>
      <c r="B187" s="6">
        <v>46191.341585648202</v>
      </c>
      <c r="C187" s="5" t="s">
        <v>148</v>
      </c>
      <c r="D187" s="5" t="s">
        <v>74</v>
      </c>
      <c r="E187" s="7">
        <f>SUMIF('Order Details'!$B$2:$B$394,A187,'Order Details'!$I$2:$I$394)</f>
        <v>232.721</v>
      </c>
      <c r="F187" s="7">
        <f>SUMIF('Order Details'!$B$2:$B$394,A187,'Order Details'!$J$2:$J$394)</f>
        <v>105.721</v>
      </c>
    </row>
    <row r="188" spans="1:6" x14ac:dyDescent="0.3">
      <c r="A188" s="2" t="s">
        <v>272</v>
      </c>
      <c r="B188" s="3">
        <v>46188.144189814797</v>
      </c>
      <c r="C188" s="2" t="s">
        <v>273</v>
      </c>
      <c r="D188" s="2" t="s">
        <v>14</v>
      </c>
      <c r="E188" s="4">
        <f>SUMIF('Order Details'!$B$2:$B$394,A188,'Order Details'!$I$2:$I$394)</f>
        <v>109.9725</v>
      </c>
      <c r="F188" s="4">
        <f>SUMIF('Order Details'!$B$2:$B$394,A188,'Order Details'!$J$2:$J$394)</f>
        <v>59.972499999999997</v>
      </c>
    </row>
    <row r="189" spans="1:6" x14ac:dyDescent="0.3">
      <c r="A189" s="5" t="s">
        <v>274</v>
      </c>
      <c r="B189" s="6">
        <v>45763.0065509259</v>
      </c>
      <c r="C189" s="5" t="s">
        <v>246</v>
      </c>
      <c r="D189" s="5" t="s">
        <v>11</v>
      </c>
      <c r="E189" s="7">
        <f>SUMIF('Order Details'!$B$2:$B$394,A189,'Order Details'!$I$2:$I$394)</f>
        <v>63.984499999999997</v>
      </c>
      <c r="F189" s="7">
        <f>SUMIF('Order Details'!$B$2:$B$394,A189,'Order Details'!$J$2:$J$394)</f>
        <v>24.984500000000001</v>
      </c>
    </row>
    <row r="190" spans="1:6" x14ac:dyDescent="0.3">
      <c r="A190" s="2" t="s">
        <v>275</v>
      </c>
      <c r="B190" s="3">
        <v>45771.575798611098</v>
      </c>
      <c r="C190" s="2" t="s">
        <v>273</v>
      </c>
      <c r="D190" s="2" t="s">
        <v>34</v>
      </c>
      <c r="E190" s="4">
        <f>SUMIF('Order Details'!$B$2:$B$394,A190,'Order Details'!$I$2:$I$394)</f>
        <v>52.970999999999997</v>
      </c>
      <c r="F190" s="4">
        <f>SUMIF('Order Details'!$B$2:$B$394,A190,'Order Details'!$J$2:$J$394)</f>
        <v>33.470999999999997</v>
      </c>
    </row>
    <row r="191" spans="1:6" x14ac:dyDescent="0.3">
      <c r="A191" s="5" t="s">
        <v>276</v>
      </c>
      <c r="B191" s="6">
        <v>45664.757824074099</v>
      </c>
      <c r="C191" s="5" t="s">
        <v>47</v>
      </c>
      <c r="D191" s="5" t="s">
        <v>11</v>
      </c>
      <c r="E191" s="7">
        <f>SUMIF('Order Details'!$B$2:$B$394,A191,'Order Details'!$I$2:$I$394)</f>
        <v>24.99</v>
      </c>
      <c r="F191" s="7">
        <f>SUMIF('Order Details'!$B$2:$B$394,A191,'Order Details'!$J$2:$J$394)</f>
        <v>15.489999999999998</v>
      </c>
    </row>
    <row r="192" spans="1:6" x14ac:dyDescent="0.3">
      <c r="A192" s="2" t="s">
        <v>277</v>
      </c>
      <c r="B192" s="3">
        <v>46044.882280092599</v>
      </c>
      <c r="C192" s="2" t="s">
        <v>150</v>
      </c>
      <c r="D192" s="2" t="s">
        <v>11</v>
      </c>
      <c r="E192" s="4">
        <f>SUMIF('Order Details'!$B$2:$B$394,A192,'Order Details'!$I$2:$I$394)</f>
        <v>306.92599999999999</v>
      </c>
      <c r="F192" s="4">
        <f>SUMIF('Order Details'!$B$2:$B$394,A192,'Order Details'!$J$2:$J$394)</f>
        <v>160.92599999999999</v>
      </c>
    </row>
    <row r="193" spans="1:6" x14ac:dyDescent="0.3">
      <c r="A193" s="5" t="s">
        <v>278</v>
      </c>
      <c r="B193" s="6">
        <v>45920.857025463003</v>
      </c>
      <c r="C193" s="5" t="s">
        <v>66</v>
      </c>
      <c r="D193" s="5" t="s">
        <v>8</v>
      </c>
      <c r="E193" s="7">
        <f>SUMIF('Order Details'!$B$2:$B$394,A193,'Order Details'!$I$2:$I$394)</f>
        <v>71.221499999999992</v>
      </c>
      <c r="F193" s="7">
        <f>SUMIF('Order Details'!$B$2:$B$394,A193,'Order Details'!$J$2:$J$394)</f>
        <v>42.721499999999992</v>
      </c>
    </row>
    <row r="194" spans="1:6" x14ac:dyDescent="0.3">
      <c r="A194" s="2" t="s">
        <v>279</v>
      </c>
      <c r="B194" s="3">
        <v>46187.7847106482</v>
      </c>
      <c r="C194" s="2" t="s">
        <v>33</v>
      </c>
      <c r="D194" s="2" t="s">
        <v>14</v>
      </c>
      <c r="E194" s="4">
        <f>SUMIF('Order Details'!$B$2:$B$394,A194,'Order Details'!$I$2:$I$394)</f>
        <v>47.490499999999997</v>
      </c>
      <c r="F194" s="4">
        <f>SUMIF('Order Details'!$B$2:$B$394,A194,'Order Details'!$J$2:$J$394)</f>
        <v>27.490499999999997</v>
      </c>
    </row>
    <row r="195" spans="1:6" x14ac:dyDescent="0.3">
      <c r="A195" s="5" t="s">
        <v>280</v>
      </c>
      <c r="B195" s="6">
        <v>46121.015740740702</v>
      </c>
      <c r="C195" s="5" t="s">
        <v>281</v>
      </c>
      <c r="D195" s="5" t="s">
        <v>14</v>
      </c>
      <c r="E195" s="7">
        <f>SUMIF('Order Details'!$B$2:$B$394,A195,'Order Details'!$I$2:$I$394)</f>
        <v>70.220999999999989</v>
      </c>
      <c r="F195" s="7">
        <f>SUMIF('Order Details'!$B$2:$B$394,A195,'Order Details'!$J$2:$J$394)</f>
        <v>42.220999999999989</v>
      </c>
    </row>
    <row r="196" spans="1:6" x14ac:dyDescent="0.3">
      <c r="A196" s="2" t="s">
        <v>282</v>
      </c>
      <c r="B196" s="3">
        <v>46089.738356481503</v>
      </c>
      <c r="C196" s="2" t="s">
        <v>255</v>
      </c>
      <c r="D196" s="2" t="s">
        <v>11</v>
      </c>
      <c r="E196" s="4">
        <f>SUMIF('Order Details'!$B$2:$B$394,A196,'Order Details'!$I$2:$I$394)</f>
        <v>234.93049999999999</v>
      </c>
      <c r="F196" s="4">
        <f>SUMIF('Order Details'!$B$2:$B$394,A196,'Order Details'!$J$2:$J$394)</f>
        <v>125.93049999999999</v>
      </c>
    </row>
    <row r="197" spans="1:6" x14ac:dyDescent="0.3">
      <c r="A197" s="5" t="s">
        <v>283</v>
      </c>
      <c r="B197" s="6">
        <v>45837.167638888903</v>
      </c>
      <c r="C197" s="5" t="s">
        <v>7</v>
      </c>
      <c r="D197" s="5" t="s">
        <v>14</v>
      </c>
      <c r="E197" s="7">
        <f>SUMIF('Order Details'!$B$2:$B$394,A197,'Order Details'!$I$2:$I$394)</f>
        <v>136.47899999999998</v>
      </c>
      <c r="F197" s="7">
        <f>SUMIF('Order Details'!$B$2:$B$394,A197,'Order Details'!$J$2:$J$394)</f>
        <v>52.478999999999985</v>
      </c>
    </row>
    <row r="198" spans="1:6" x14ac:dyDescent="0.3">
      <c r="A198" s="2" t="s">
        <v>284</v>
      </c>
      <c r="B198" s="3">
        <v>45818.795011574097</v>
      </c>
      <c r="C198" s="2" t="s">
        <v>90</v>
      </c>
      <c r="D198" s="2" t="s">
        <v>11</v>
      </c>
      <c r="E198" s="4">
        <f>SUMIF('Order Details'!$B$2:$B$394,A198,'Order Details'!$I$2:$I$394)</f>
        <v>51.47</v>
      </c>
      <c r="F198" s="4">
        <f>SUMIF('Order Details'!$B$2:$B$394,A198,'Order Details'!$J$2:$J$394)</f>
        <v>33.47</v>
      </c>
    </row>
    <row r="199" spans="1:6" x14ac:dyDescent="0.3">
      <c r="A199" s="5" t="s">
        <v>285</v>
      </c>
      <c r="B199" s="6">
        <v>45701.624131944503</v>
      </c>
      <c r="C199" s="5" t="s">
        <v>175</v>
      </c>
      <c r="D199" s="5" t="s">
        <v>11</v>
      </c>
      <c r="E199" s="7">
        <f>SUMIF('Order Details'!$B$2:$B$394,A199,'Order Details'!$I$2:$I$394)</f>
        <v>13.98</v>
      </c>
      <c r="F199" s="7">
        <f>SUMIF('Order Details'!$B$2:$B$394,A199,'Order Details'!$J$2:$J$394)</f>
        <v>9.98</v>
      </c>
    </row>
    <row r="200" spans="1:6" x14ac:dyDescent="0.3">
      <c r="A200" s="2" t="s">
        <v>286</v>
      </c>
      <c r="B200" s="3">
        <v>46065.149421296301</v>
      </c>
      <c r="C200" s="2" t="s">
        <v>45</v>
      </c>
      <c r="D200" s="2" t="s">
        <v>14</v>
      </c>
      <c r="E200" s="4">
        <f>SUMIF('Order Details'!$B$2:$B$394,A200,'Order Details'!$I$2:$I$394)</f>
        <v>32.280999999999999</v>
      </c>
      <c r="F200" s="4">
        <f>SUMIF('Order Details'!$B$2:$B$394,A200,'Order Details'!$J$2:$J$394)</f>
        <v>19.780999999999999</v>
      </c>
    </row>
    <row r="201" spans="1:6" x14ac:dyDescent="0.3">
      <c r="A201" s="5" t="s">
        <v>287</v>
      </c>
      <c r="B201" s="6">
        <v>46184.218020833301</v>
      </c>
      <c r="C201" s="5" t="s">
        <v>109</v>
      </c>
      <c r="D201" s="5" t="s">
        <v>14</v>
      </c>
      <c r="E201" s="7">
        <f>SUMIF('Order Details'!$B$2:$B$394,A201,'Order Details'!$I$2:$I$394)</f>
        <v>52.240499999999997</v>
      </c>
      <c r="F201" s="7">
        <f>SUMIF('Order Details'!$B$2:$B$394,A201,'Order Details'!$J$2:$J$394)</f>
        <v>26.240499999999997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3" customWidth="1"/>
    <col min="3" max="3" width="12" customWidth="1"/>
    <col min="4" max="4" width="11" customWidth="1"/>
    <col min="5" max="5" width="15" customWidth="1"/>
    <col min="6" max="6" width="11" customWidth="1"/>
    <col min="7" max="7" width="13" customWidth="1"/>
    <col min="8" max="8" width="12" customWidth="1"/>
    <col min="9" max="9" width="14" customWidth="1"/>
    <col min="10" max="10" width="13" customWidth="1"/>
    <col min="11" max="11" width="12" customWidth="1"/>
    <col min="12" max="12" width="26" customWidth="1"/>
  </cols>
  <sheetData>
    <row r="1" spans="1:12" ht="27.6" x14ac:dyDescent="0.3">
      <c r="A1" s="1" t="s">
        <v>288</v>
      </c>
      <c r="B1" s="1" t="s">
        <v>0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</row>
    <row r="2" spans="1:12" x14ac:dyDescent="0.3">
      <c r="A2" s="2" t="s">
        <v>299</v>
      </c>
      <c r="B2" s="2" t="s">
        <v>6</v>
      </c>
      <c r="C2" s="2" t="s">
        <v>300</v>
      </c>
      <c r="D2" s="2">
        <v>4</v>
      </c>
      <c r="E2" s="4">
        <f>VLOOKUP(C2,Products!$A:$E,4,FALSE())</f>
        <v>39.99</v>
      </c>
      <c r="F2" s="8">
        <v>0</v>
      </c>
      <c r="G2" s="4">
        <f t="shared" ref="G2:G65" si="0">E2*(1-F2)</f>
        <v>39.99</v>
      </c>
      <c r="H2" s="4">
        <f>VLOOKUP(C2,Products!$A:$E,5,FALSE())</f>
        <v>17</v>
      </c>
      <c r="I2" s="4">
        <f t="shared" ref="I2:I65" si="1">D2*G2</f>
        <v>159.96</v>
      </c>
      <c r="J2" s="4">
        <f t="shared" ref="J2:J65" si="2">I2-(D2*H2)</f>
        <v>91.960000000000008</v>
      </c>
      <c r="K2" s="9">
        <f t="shared" ref="K2:K65" si="3">IFERROR(J2/I2,0)</f>
        <v>0.57489372343085776</v>
      </c>
      <c r="L2" s="2" t="str">
        <f>IF(VLOOKUP(B2,Orders!$A:$D,4,FALSE())="Vrátená",INDEX({"Nevyhovujúca veľkosť";"Poškodený tovar pri doprave";"Produkt nezodpovedal popisu";"Zákazník zmenil názor";"Neskoré doručenie";"Chybný/vadný kus";"Duplicitná objednávka"},MOD(CODE(LEFT(A2,1))+LEN(A2),7)+1),"")</f>
        <v/>
      </c>
    </row>
    <row r="3" spans="1:12" x14ac:dyDescent="0.3">
      <c r="A3" s="5" t="s">
        <v>301</v>
      </c>
      <c r="B3" s="5" t="s">
        <v>6</v>
      </c>
      <c r="C3" s="5" t="s">
        <v>302</v>
      </c>
      <c r="D3" s="5">
        <v>1</v>
      </c>
      <c r="E3" s="7">
        <f>VLOOKUP(C3,Products!$A:$E,4,FALSE())</f>
        <v>54.99</v>
      </c>
      <c r="F3" s="10">
        <v>0</v>
      </c>
      <c r="G3" s="7">
        <f t="shared" si="0"/>
        <v>54.99</v>
      </c>
      <c r="H3" s="7">
        <f>VLOOKUP(C3,Products!$A:$E,5,FALSE())</f>
        <v>22</v>
      </c>
      <c r="I3" s="7">
        <f t="shared" si="1"/>
        <v>54.99</v>
      </c>
      <c r="J3" s="7">
        <f t="shared" si="2"/>
        <v>32.99</v>
      </c>
      <c r="K3" s="11">
        <f t="shared" si="3"/>
        <v>0.59992725950172765</v>
      </c>
      <c r="L3" s="5" t="str">
        <f>IF(VLOOKUP(B3,Orders!$A:$D,4,FALSE())="Vrátená",INDEX({"Nevyhovujúca veľkosť";"Poškodený tovar pri doprave";"Produkt nezodpovedal popisu";"Zákazník zmenil názor";"Neskoré doručenie";"Chybný/vadný kus";"Duplicitná objednávka"},MOD(CODE(LEFT(A3,1))+LEN(A3),7)+1),"")</f>
        <v/>
      </c>
    </row>
    <row r="4" spans="1:12" x14ac:dyDescent="0.3">
      <c r="A4" s="2" t="s">
        <v>303</v>
      </c>
      <c r="B4" s="2" t="s">
        <v>9</v>
      </c>
      <c r="C4" s="2" t="s">
        <v>304</v>
      </c>
      <c r="D4" s="2">
        <v>1</v>
      </c>
      <c r="E4" s="4">
        <f>VLOOKUP(C4,Products!$A:$E,4,FALSE())</f>
        <v>42.99</v>
      </c>
      <c r="F4" s="8">
        <v>0</v>
      </c>
      <c r="G4" s="4">
        <f t="shared" si="0"/>
        <v>42.99</v>
      </c>
      <c r="H4" s="4">
        <f>VLOOKUP(C4,Products!$A:$E,5,FALSE())</f>
        <v>19.5</v>
      </c>
      <c r="I4" s="4">
        <f t="shared" si="1"/>
        <v>42.99</v>
      </c>
      <c r="J4" s="4">
        <f t="shared" si="2"/>
        <v>23.490000000000002</v>
      </c>
      <c r="K4" s="9">
        <f t="shared" si="3"/>
        <v>0.54640614096301465</v>
      </c>
      <c r="L4" s="2" t="str">
        <f>IF(VLOOKUP(B4,Orders!$A:$D,4,FALSE())="Vrátená",INDEX({"Nevyhovujúca veľkosť";"Poškodený tovar pri doprave";"Produkt nezodpovedal popisu";"Zákazník zmenil názor";"Neskoré doručenie";"Chybný/vadný kus";"Duplicitná objednávka"},MOD(CODE(LEFT(A4,1))+LEN(A4),7)+1),"")</f>
        <v/>
      </c>
    </row>
    <row r="5" spans="1:12" x14ac:dyDescent="0.3">
      <c r="A5" s="5" t="s">
        <v>305</v>
      </c>
      <c r="B5" s="5" t="s">
        <v>12</v>
      </c>
      <c r="C5" s="5" t="s">
        <v>306</v>
      </c>
      <c r="D5" s="5">
        <v>5</v>
      </c>
      <c r="E5" s="7">
        <f>VLOOKUP(C5,Products!$A:$E,4,FALSE())</f>
        <v>34.99</v>
      </c>
      <c r="F5" s="10">
        <v>0</v>
      </c>
      <c r="G5" s="7">
        <f t="shared" si="0"/>
        <v>34.99</v>
      </c>
      <c r="H5" s="7">
        <f>VLOOKUP(C5,Products!$A:$E,5,FALSE())</f>
        <v>15</v>
      </c>
      <c r="I5" s="7">
        <f t="shared" si="1"/>
        <v>174.95000000000002</v>
      </c>
      <c r="J5" s="7">
        <f t="shared" si="2"/>
        <v>99.950000000000017</v>
      </c>
      <c r="K5" s="11">
        <f t="shared" si="3"/>
        <v>0.57130608745355815</v>
      </c>
      <c r="L5" s="5" t="str">
        <f>IF(VLOOKUP(B5,Orders!$A:$D,4,FALSE())="Vrátená",INDEX({"Nevyhovujúca veľkosť";"Poškodený tovar pri doprave";"Produkt nezodpovedal popisu";"Zákazník zmenil názor";"Neskoré doručenie";"Chybný/vadný kus";"Duplicitná objednávka"},MOD(CODE(LEFT(A5,1))+LEN(A5),7)+1),"")</f>
        <v/>
      </c>
    </row>
    <row r="6" spans="1:12" x14ac:dyDescent="0.3">
      <c r="A6" s="2" t="s">
        <v>307</v>
      </c>
      <c r="B6" s="2" t="s">
        <v>15</v>
      </c>
      <c r="C6" s="2" t="s">
        <v>308</v>
      </c>
      <c r="D6" s="2">
        <v>2</v>
      </c>
      <c r="E6" s="4">
        <f>VLOOKUP(C6,Products!$A:$E,4,FALSE())</f>
        <v>22.49</v>
      </c>
      <c r="F6" s="8">
        <v>0.3</v>
      </c>
      <c r="G6" s="4">
        <f t="shared" si="0"/>
        <v>15.742999999999999</v>
      </c>
      <c r="H6" s="4">
        <f>VLOOKUP(C6,Products!$A:$E,5,FALSE())</f>
        <v>9</v>
      </c>
      <c r="I6" s="4">
        <f t="shared" si="1"/>
        <v>31.485999999999997</v>
      </c>
      <c r="J6" s="4">
        <f t="shared" si="2"/>
        <v>13.485999999999997</v>
      </c>
      <c r="K6" s="9">
        <f t="shared" si="3"/>
        <v>0.42831734739249183</v>
      </c>
      <c r="L6" s="2" t="str">
        <f>IF(VLOOKUP(B6,Orders!$A:$D,4,FALSE())="Vrátená",INDEX({"Nevyhovujúca veľkosť";"Poškodený tovar pri doprave";"Produkt nezodpovedal popisu";"Zákazník zmenil názor";"Neskoré doručenie";"Chybný/vadný kus";"Duplicitná objednávka"},MOD(CODE(LEFT(A6,1))+LEN(A6),7)+1),"")</f>
        <v/>
      </c>
    </row>
    <row r="7" spans="1:12" x14ac:dyDescent="0.3">
      <c r="A7" s="5" t="s">
        <v>309</v>
      </c>
      <c r="B7" s="5" t="s">
        <v>15</v>
      </c>
      <c r="C7" s="5" t="s">
        <v>310</v>
      </c>
      <c r="D7" s="5">
        <v>1</v>
      </c>
      <c r="E7" s="7">
        <f>VLOOKUP(C7,Products!$A:$E,4,FALSE())</f>
        <v>34.99</v>
      </c>
      <c r="F7" s="10">
        <v>0</v>
      </c>
      <c r="G7" s="7">
        <f t="shared" si="0"/>
        <v>34.99</v>
      </c>
      <c r="H7" s="7">
        <f>VLOOKUP(C7,Products!$A:$E,5,FALSE())</f>
        <v>14</v>
      </c>
      <c r="I7" s="7">
        <f t="shared" si="1"/>
        <v>34.99</v>
      </c>
      <c r="J7" s="7">
        <f t="shared" si="2"/>
        <v>20.990000000000002</v>
      </c>
      <c r="K7" s="11">
        <f t="shared" si="3"/>
        <v>0.59988568162332101</v>
      </c>
      <c r="L7" s="5" t="str">
        <f>IF(VLOOKUP(B7,Orders!$A:$D,4,FALSE())="Vrátená",INDEX({"Nevyhovujúca veľkosť";"Poškodený tovar pri doprave";"Produkt nezodpovedal popisu";"Zákazník zmenil názor";"Neskoré doručenie";"Chybný/vadný kus";"Duplicitná objednávka"},MOD(CODE(LEFT(A7,1))+LEN(A7),7)+1),"")</f>
        <v/>
      </c>
    </row>
    <row r="8" spans="1:12" x14ac:dyDescent="0.3">
      <c r="A8" s="2" t="s">
        <v>311</v>
      </c>
      <c r="B8" s="2" t="s">
        <v>17</v>
      </c>
      <c r="C8" s="2" t="s">
        <v>302</v>
      </c>
      <c r="D8" s="2">
        <v>1</v>
      </c>
      <c r="E8" s="4">
        <f>VLOOKUP(C8,Products!$A:$E,4,FALSE())</f>
        <v>54.99</v>
      </c>
      <c r="F8" s="8">
        <v>0.1</v>
      </c>
      <c r="G8" s="4">
        <f t="shared" si="0"/>
        <v>49.491</v>
      </c>
      <c r="H8" s="4">
        <f>VLOOKUP(C8,Products!$A:$E,5,FALSE())</f>
        <v>22</v>
      </c>
      <c r="I8" s="4">
        <f t="shared" si="1"/>
        <v>49.491</v>
      </c>
      <c r="J8" s="4">
        <f t="shared" si="2"/>
        <v>27.491</v>
      </c>
      <c r="K8" s="9">
        <f t="shared" si="3"/>
        <v>0.55547473277969728</v>
      </c>
      <c r="L8" s="2" t="str">
        <f>IF(VLOOKUP(B8,Orders!$A:$D,4,FALSE())="Vrátená",INDEX({"Nevyhovujúca veľkosť";"Poškodený tovar pri doprave";"Produkt nezodpovedal popisu";"Zákazník zmenil názor";"Neskoré doručenie";"Chybný/vadný kus";"Duplicitná objednávka"},MOD(CODE(LEFT(A8,1))+LEN(A8),7)+1),"")</f>
        <v/>
      </c>
    </row>
    <row r="9" spans="1:12" x14ac:dyDescent="0.3">
      <c r="A9" s="5" t="s">
        <v>312</v>
      </c>
      <c r="B9" s="5" t="s">
        <v>19</v>
      </c>
      <c r="C9" s="5" t="s">
        <v>304</v>
      </c>
      <c r="D9" s="5">
        <v>5</v>
      </c>
      <c r="E9" s="7">
        <f>VLOOKUP(C9,Products!$A:$E,4,FALSE())</f>
        <v>42.99</v>
      </c>
      <c r="F9" s="10">
        <v>0.1</v>
      </c>
      <c r="G9" s="7">
        <f t="shared" si="0"/>
        <v>38.691000000000003</v>
      </c>
      <c r="H9" s="7">
        <f>VLOOKUP(C9,Products!$A:$E,5,FALSE())</f>
        <v>19.5</v>
      </c>
      <c r="I9" s="7">
        <f t="shared" si="1"/>
        <v>193.45500000000001</v>
      </c>
      <c r="J9" s="7">
        <f t="shared" si="2"/>
        <v>95.955000000000013</v>
      </c>
      <c r="K9" s="11">
        <f t="shared" si="3"/>
        <v>0.49600682329223855</v>
      </c>
      <c r="L9" s="5" t="str">
        <f>IF(VLOOKUP(B9,Orders!$A:$D,4,FALSE())="Vrátená",INDEX({"Nevyhovujúca veľkosť";"Poškodený tovar pri doprave";"Produkt nezodpovedal popisu";"Zákazník zmenil názor";"Neskoré doručenie";"Chybný/vadný kus";"Duplicitná objednávka"},MOD(CODE(LEFT(A9,1))+LEN(A9),7)+1),"")</f>
        <v/>
      </c>
    </row>
    <row r="10" spans="1:12" x14ac:dyDescent="0.3">
      <c r="A10" s="2" t="s">
        <v>313</v>
      </c>
      <c r="B10" s="2" t="s">
        <v>19</v>
      </c>
      <c r="C10" s="2" t="s">
        <v>314</v>
      </c>
      <c r="D10" s="2">
        <v>5</v>
      </c>
      <c r="E10" s="4">
        <f>VLOOKUP(C10,Products!$A:$E,4,FALSE())</f>
        <v>54.99</v>
      </c>
      <c r="F10" s="8">
        <v>0</v>
      </c>
      <c r="G10" s="4">
        <f t="shared" si="0"/>
        <v>54.99</v>
      </c>
      <c r="H10" s="4">
        <f>VLOOKUP(C10,Products!$A:$E,5,FALSE())</f>
        <v>26</v>
      </c>
      <c r="I10" s="4">
        <f t="shared" si="1"/>
        <v>274.95</v>
      </c>
      <c r="J10" s="4">
        <f t="shared" si="2"/>
        <v>144.94999999999999</v>
      </c>
      <c r="K10" s="9">
        <f t="shared" si="3"/>
        <v>0.5271867612293144</v>
      </c>
      <c r="L10" s="2" t="str">
        <f>IF(VLOOKUP(B10,Orders!$A:$D,4,FALSE())="Vrátená",INDEX({"Nevyhovujúca veľkosť";"Poškodený tovar pri doprave";"Produkt nezodpovedal popisu";"Zákazník zmenil názor";"Neskoré doručenie";"Chybný/vadný kus";"Duplicitná objednávka"},MOD(CODE(LEFT(A10,1))+LEN(A10),7)+1),"")</f>
        <v/>
      </c>
    </row>
    <row r="11" spans="1:12" x14ac:dyDescent="0.3">
      <c r="A11" s="5" t="s">
        <v>315</v>
      </c>
      <c r="B11" s="5" t="s">
        <v>21</v>
      </c>
      <c r="C11" s="5" t="s">
        <v>316</v>
      </c>
      <c r="D11" s="5">
        <v>1</v>
      </c>
      <c r="E11" s="7">
        <f>VLOOKUP(C11,Products!$A:$E,4,FALSE())</f>
        <v>39.99</v>
      </c>
      <c r="F11" s="10">
        <v>0</v>
      </c>
      <c r="G11" s="7">
        <f t="shared" si="0"/>
        <v>39.99</v>
      </c>
      <c r="H11" s="7">
        <f>VLOOKUP(C11,Products!$A:$E,5,FALSE())</f>
        <v>16</v>
      </c>
      <c r="I11" s="7">
        <f t="shared" si="1"/>
        <v>39.99</v>
      </c>
      <c r="J11" s="7">
        <f t="shared" si="2"/>
        <v>23.990000000000002</v>
      </c>
      <c r="K11" s="11">
        <f t="shared" si="3"/>
        <v>0.59989997499374847</v>
      </c>
      <c r="L11" s="5" t="str">
        <f>IF(VLOOKUP(B11,Orders!$A:$D,4,FALSE())="Vrátená",INDEX({"Nevyhovujúca veľkosť";"Poškodený tovar pri doprave";"Produkt nezodpovedal popisu";"Zákazník zmenil názor";"Neskoré doručenie";"Chybný/vadný kus";"Duplicitná objednávka"},MOD(CODE(LEFT(A11,1))+LEN(A11),7)+1),"")</f>
        <v/>
      </c>
    </row>
    <row r="12" spans="1:12" x14ac:dyDescent="0.3">
      <c r="A12" s="2" t="s">
        <v>317</v>
      </c>
      <c r="B12" s="2" t="s">
        <v>23</v>
      </c>
      <c r="C12" s="2" t="s">
        <v>318</v>
      </c>
      <c r="D12" s="2">
        <v>1</v>
      </c>
      <c r="E12" s="4">
        <f>VLOOKUP(C12,Products!$A:$E,4,FALSE())</f>
        <v>29.99</v>
      </c>
      <c r="F12" s="8">
        <v>0</v>
      </c>
      <c r="G12" s="4">
        <f t="shared" si="0"/>
        <v>29.99</v>
      </c>
      <c r="H12" s="4">
        <f>VLOOKUP(C12,Products!$A:$E,5,FALSE())</f>
        <v>13</v>
      </c>
      <c r="I12" s="4">
        <f t="shared" si="1"/>
        <v>29.99</v>
      </c>
      <c r="J12" s="4">
        <f t="shared" si="2"/>
        <v>16.989999999999998</v>
      </c>
      <c r="K12" s="9">
        <f t="shared" si="3"/>
        <v>0.5665221740580193</v>
      </c>
      <c r="L12" s="2" t="str">
        <f>IF(VLOOKUP(B12,Orders!$A:$D,4,FALSE())="Vrátená",INDEX({"Nevyhovujúca veľkosť";"Poškodený tovar pri doprave";"Produkt nezodpovedal popisu";"Zákazník zmenil názor";"Neskoré doručenie";"Chybný/vadný kus";"Duplicitná objednávka"},MOD(CODE(LEFT(A12,1))+LEN(A12),7)+1),"")</f>
        <v/>
      </c>
    </row>
    <row r="13" spans="1:12" x14ac:dyDescent="0.3">
      <c r="A13" s="5" t="s">
        <v>319</v>
      </c>
      <c r="B13" s="5" t="s">
        <v>23</v>
      </c>
      <c r="C13" s="5" t="s">
        <v>320</v>
      </c>
      <c r="D13" s="5">
        <v>3</v>
      </c>
      <c r="E13" s="7">
        <f>VLOOKUP(C13,Products!$A:$E,4,FALSE())</f>
        <v>29.99</v>
      </c>
      <c r="F13" s="10">
        <v>0</v>
      </c>
      <c r="G13" s="7">
        <f t="shared" si="0"/>
        <v>29.99</v>
      </c>
      <c r="H13" s="7">
        <f>VLOOKUP(C13,Products!$A:$E,5,FALSE())</f>
        <v>12</v>
      </c>
      <c r="I13" s="7">
        <f t="shared" si="1"/>
        <v>89.97</v>
      </c>
      <c r="J13" s="7">
        <f t="shared" si="2"/>
        <v>53.97</v>
      </c>
      <c r="K13" s="11">
        <f t="shared" si="3"/>
        <v>0.5998666222074025</v>
      </c>
      <c r="L13" s="5" t="str">
        <f>IF(VLOOKUP(B13,Orders!$A:$D,4,FALSE())="Vrátená",INDEX({"Nevyhovujúca veľkosť";"Poškodený tovar pri doprave";"Produkt nezodpovedal popisu";"Zákazník zmenil názor";"Neskoré doručenie";"Chybný/vadný kus";"Duplicitná objednávka"},MOD(CODE(LEFT(A13,1))+LEN(A13),7)+1),"")</f>
        <v/>
      </c>
    </row>
    <row r="14" spans="1:12" x14ac:dyDescent="0.3">
      <c r="A14" s="2" t="s">
        <v>321</v>
      </c>
      <c r="B14" s="2" t="s">
        <v>24</v>
      </c>
      <c r="C14" s="2" t="s">
        <v>322</v>
      </c>
      <c r="D14" s="2">
        <v>1</v>
      </c>
      <c r="E14" s="4">
        <f>VLOOKUP(C14,Products!$A:$E,4,FALSE())</f>
        <v>104.99</v>
      </c>
      <c r="F14" s="8">
        <v>0.15</v>
      </c>
      <c r="G14" s="4">
        <f t="shared" si="0"/>
        <v>89.241499999999988</v>
      </c>
      <c r="H14" s="4">
        <f>VLOOKUP(C14,Products!$A:$E,5,FALSE())</f>
        <v>55</v>
      </c>
      <c r="I14" s="4">
        <f t="shared" si="1"/>
        <v>89.241499999999988</v>
      </c>
      <c r="J14" s="4">
        <f t="shared" si="2"/>
        <v>34.241499999999988</v>
      </c>
      <c r="K14" s="9">
        <f t="shared" si="3"/>
        <v>0.38369480566776659</v>
      </c>
      <c r="L14" s="2" t="str">
        <f>IF(VLOOKUP(B14,Orders!$A:$D,4,FALSE())="Vrátená",INDEX({"Nevyhovujúca veľkosť";"Poškodený tovar pri doprave";"Produkt nezodpovedal popisu";"Zákazník zmenil názor";"Neskoré doručenie";"Chybný/vadný kus";"Duplicitná objednávka"},MOD(CODE(LEFT(A14,1))+LEN(A14),7)+1),"")</f>
        <v/>
      </c>
    </row>
    <row r="15" spans="1:12" x14ac:dyDescent="0.3">
      <c r="A15" s="5" t="s">
        <v>323</v>
      </c>
      <c r="B15" s="5" t="s">
        <v>24</v>
      </c>
      <c r="C15" s="5" t="s">
        <v>324</v>
      </c>
      <c r="D15" s="5">
        <v>1</v>
      </c>
      <c r="E15" s="7">
        <f>VLOOKUP(C15,Products!$A:$E,4,FALSE())</f>
        <v>13.99</v>
      </c>
      <c r="F15" s="10">
        <v>0</v>
      </c>
      <c r="G15" s="7">
        <f t="shared" si="0"/>
        <v>13.99</v>
      </c>
      <c r="H15" s="7">
        <f>VLOOKUP(C15,Products!$A:$E,5,FALSE())</f>
        <v>5</v>
      </c>
      <c r="I15" s="7">
        <f t="shared" si="1"/>
        <v>13.99</v>
      </c>
      <c r="J15" s="7">
        <f t="shared" si="2"/>
        <v>8.99</v>
      </c>
      <c r="K15" s="11">
        <f t="shared" si="3"/>
        <v>0.64260185847033591</v>
      </c>
      <c r="L15" s="5" t="str">
        <f>IF(VLOOKUP(B15,Orders!$A:$D,4,FALSE())="Vrátená",INDEX({"Nevyhovujúca veľkosť";"Poškodený tovar pri doprave";"Produkt nezodpovedal popisu";"Zákazník zmenil názor";"Neskoré doručenie";"Chybný/vadný kus";"Duplicitná objednávka"},MOD(CODE(LEFT(A15,1))+LEN(A15),7)+1),"")</f>
        <v/>
      </c>
    </row>
    <row r="16" spans="1:12" x14ac:dyDescent="0.3">
      <c r="A16" s="2" t="s">
        <v>325</v>
      </c>
      <c r="B16" s="2" t="s">
        <v>24</v>
      </c>
      <c r="C16" s="2" t="s">
        <v>308</v>
      </c>
      <c r="D16" s="2">
        <v>2</v>
      </c>
      <c r="E16" s="4">
        <f>VLOOKUP(C16,Products!$A:$E,4,FALSE())</f>
        <v>22.49</v>
      </c>
      <c r="F16" s="8">
        <v>0.2</v>
      </c>
      <c r="G16" s="4">
        <f t="shared" si="0"/>
        <v>17.992000000000001</v>
      </c>
      <c r="H16" s="4">
        <f>VLOOKUP(C16,Products!$A:$E,5,FALSE())</f>
        <v>9</v>
      </c>
      <c r="I16" s="4">
        <f t="shared" si="1"/>
        <v>35.984000000000002</v>
      </c>
      <c r="J16" s="4">
        <f t="shared" si="2"/>
        <v>17.984000000000002</v>
      </c>
      <c r="K16" s="9">
        <f t="shared" si="3"/>
        <v>0.49977767896843045</v>
      </c>
      <c r="L16" s="2" t="str">
        <f>IF(VLOOKUP(B16,Orders!$A:$D,4,FALSE())="Vrátená",INDEX({"Nevyhovujúca veľkosť";"Poškodený tovar pri doprave";"Produkt nezodpovedal popisu";"Zákazník zmenil názor";"Neskoré doručenie";"Chybný/vadný kus";"Duplicitná objednávka"},MOD(CODE(LEFT(A16,1))+LEN(A16),7)+1),"")</f>
        <v/>
      </c>
    </row>
    <row r="17" spans="1:12" x14ac:dyDescent="0.3">
      <c r="A17" s="5" t="s">
        <v>326</v>
      </c>
      <c r="B17" s="5" t="s">
        <v>26</v>
      </c>
      <c r="C17" s="5" t="s">
        <v>314</v>
      </c>
      <c r="D17" s="5">
        <v>5</v>
      </c>
      <c r="E17" s="7">
        <f>VLOOKUP(C17,Products!$A:$E,4,FALSE())</f>
        <v>54.99</v>
      </c>
      <c r="F17" s="10">
        <v>0</v>
      </c>
      <c r="G17" s="7">
        <f t="shared" si="0"/>
        <v>54.99</v>
      </c>
      <c r="H17" s="7">
        <f>VLOOKUP(C17,Products!$A:$E,5,FALSE())</f>
        <v>26</v>
      </c>
      <c r="I17" s="7">
        <f t="shared" si="1"/>
        <v>274.95</v>
      </c>
      <c r="J17" s="7">
        <f t="shared" si="2"/>
        <v>144.94999999999999</v>
      </c>
      <c r="K17" s="11">
        <f t="shared" si="3"/>
        <v>0.5271867612293144</v>
      </c>
      <c r="L17" s="5" t="str">
        <f>IF(VLOOKUP(B17,Orders!$A:$D,4,FALSE())="Vrátená",INDEX({"Nevyhovujúca veľkosť";"Poškodený tovar pri doprave";"Produkt nezodpovedal popisu";"Zákazník zmenil názor";"Neskoré doručenie";"Chybný/vadný kus";"Duplicitná objednávka"},MOD(CODE(LEFT(A17,1))+LEN(A17),7)+1),"")</f>
        <v/>
      </c>
    </row>
    <row r="18" spans="1:12" x14ac:dyDescent="0.3">
      <c r="A18" s="2" t="s">
        <v>327</v>
      </c>
      <c r="B18" s="2" t="s">
        <v>28</v>
      </c>
      <c r="C18" s="2" t="s">
        <v>328</v>
      </c>
      <c r="D18" s="2">
        <v>1</v>
      </c>
      <c r="E18" s="4">
        <f>VLOOKUP(C18,Products!$A:$E,4,FALSE())</f>
        <v>7.49</v>
      </c>
      <c r="F18" s="8">
        <v>0.1</v>
      </c>
      <c r="G18" s="4">
        <f t="shared" si="0"/>
        <v>6.7410000000000005</v>
      </c>
      <c r="H18" s="4">
        <f>VLOOKUP(C18,Products!$A:$E,5,FALSE())</f>
        <v>2</v>
      </c>
      <c r="I18" s="4">
        <f t="shared" si="1"/>
        <v>6.7410000000000005</v>
      </c>
      <c r="J18" s="4">
        <f t="shared" si="2"/>
        <v>4.7410000000000005</v>
      </c>
      <c r="K18" s="9">
        <f t="shared" si="3"/>
        <v>0.70330811452306785</v>
      </c>
      <c r="L18" s="2" t="str">
        <f>IF(VLOOKUP(B18,Orders!$A:$D,4,FALSE())="Vrátená",INDEX({"Nevyhovujúca veľkosť";"Poškodený tovar pri doprave";"Produkt nezodpovedal popisu";"Zákazník zmenil názor";"Neskoré doručenie";"Chybný/vadný kus";"Duplicitná objednávka"},MOD(CODE(LEFT(A18,1))+LEN(A18),7)+1),"")</f>
        <v/>
      </c>
    </row>
    <row r="19" spans="1:12" x14ac:dyDescent="0.3">
      <c r="A19" s="5" t="s">
        <v>329</v>
      </c>
      <c r="B19" s="5" t="s">
        <v>28</v>
      </c>
      <c r="C19" s="5" t="s">
        <v>330</v>
      </c>
      <c r="D19" s="5">
        <v>1</v>
      </c>
      <c r="E19" s="7">
        <f>VLOOKUP(C19,Products!$A:$E,4,FALSE())</f>
        <v>14.99</v>
      </c>
      <c r="F19" s="10">
        <v>0.15</v>
      </c>
      <c r="G19" s="7">
        <f t="shared" si="0"/>
        <v>12.7415</v>
      </c>
      <c r="H19" s="7">
        <f>VLOOKUP(C19,Products!$A:$E,5,FALSE())</f>
        <v>5.5</v>
      </c>
      <c r="I19" s="7">
        <f t="shared" si="1"/>
        <v>12.7415</v>
      </c>
      <c r="J19" s="7">
        <f t="shared" si="2"/>
        <v>7.2415000000000003</v>
      </c>
      <c r="K19" s="11">
        <f t="shared" si="3"/>
        <v>0.56833967743201352</v>
      </c>
      <c r="L19" s="5" t="str">
        <f>IF(VLOOKUP(B19,Orders!$A:$D,4,FALSE())="Vrátená",INDEX({"Nevyhovujúca veľkosť";"Poškodený tovar pri doprave";"Produkt nezodpovedal popisu";"Zákazník zmenil názor";"Neskoré doručenie";"Chybný/vadný kus";"Duplicitná objednávka"},MOD(CODE(LEFT(A19,1))+LEN(A19),7)+1),"")</f>
        <v/>
      </c>
    </row>
    <row r="20" spans="1:12" x14ac:dyDescent="0.3">
      <c r="A20" s="2" t="s">
        <v>331</v>
      </c>
      <c r="B20" s="2" t="s">
        <v>30</v>
      </c>
      <c r="C20" s="2" t="s">
        <v>332</v>
      </c>
      <c r="D20" s="2">
        <v>1</v>
      </c>
      <c r="E20" s="4">
        <f>VLOOKUP(C20,Products!$A:$E,4,FALSE())</f>
        <v>14.99</v>
      </c>
      <c r="F20" s="8">
        <v>0.2</v>
      </c>
      <c r="G20" s="4">
        <f t="shared" si="0"/>
        <v>11.992000000000001</v>
      </c>
      <c r="H20" s="4">
        <f>VLOOKUP(C20,Products!$A:$E,5,FALSE())</f>
        <v>5</v>
      </c>
      <c r="I20" s="4">
        <f t="shared" si="1"/>
        <v>11.992000000000001</v>
      </c>
      <c r="J20" s="4">
        <f t="shared" si="2"/>
        <v>6.9920000000000009</v>
      </c>
      <c r="K20" s="9">
        <f t="shared" si="3"/>
        <v>0.58305537024683129</v>
      </c>
      <c r="L20" s="2" t="str">
        <f>IF(VLOOKUP(B20,Orders!$A:$D,4,FALSE())="Vrátená",INDEX({"Nevyhovujúca veľkosť";"Poškodený tovar pri doprave";"Produkt nezodpovedal popisu";"Zákazník zmenil názor";"Neskoré doručenie";"Chybný/vadný kus";"Duplicitná objednávka"},MOD(CODE(LEFT(A20,1))+LEN(A20),7)+1),"")</f>
        <v/>
      </c>
    </row>
    <row r="21" spans="1:12" x14ac:dyDescent="0.3">
      <c r="A21" s="5" t="s">
        <v>333</v>
      </c>
      <c r="B21" s="5" t="s">
        <v>30</v>
      </c>
      <c r="C21" s="5" t="s">
        <v>334</v>
      </c>
      <c r="D21" s="5">
        <v>1</v>
      </c>
      <c r="E21" s="7">
        <f>VLOOKUP(C21,Products!$A:$E,4,FALSE())</f>
        <v>21.49</v>
      </c>
      <c r="F21" s="10">
        <v>0.15</v>
      </c>
      <c r="G21" s="7">
        <f t="shared" si="0"/>
        <v>18.266499999999997</v>
      </c>
      <c r="H21" s="7">
        <f>VLOOKUP(C21,Products!$A:$E,5,FALSE())</f>
        <v>8</v>
      </c>
      <c r="I21" s="7">
        <f t="shared" si="1"/>
        <v>18.266499999999997</v>
      </c>
      <c r="J21" s="7">
        <f t="shared" si="2"/>
        <v>10.266499999999997</v>
      </c>
      <c r="K21" s="11">
        <f t="shared" si="3"/>
        <v>0.56203979963320827</v>
      </c>
      <c r="L21" s="5" t="str">
        <f>IF(VLOOKUP(B21,Orders!$A:$D,4,FALSE())="Vrátená",INDEX({"Nevyhovujúca veľkosť";"Poškodený tovar pri doprave";"Produkt nezodpovedal popisu";"Zákazník zmenil názor";"Neskoré doručenie";"Chybný/vadný kus";"Duplicitná objednávka"},MOD(CODE(LEFT(A21,1))+LEN(A21),7)+1),"")</f>
        <v/>
      </c>
    </row>
    <row r="22" spans="1:12" x14ac:dyDescent="0.3">
      <c r="A22" s="2" t="s">
        <v>335</v>
      </c>
      <c r="B22" s="2" t="s">
        <v>32</v>
      </c>
      <c r="C22" s="2" t="s">
        <v>334</v>
      </c>
      <c r="D22" s="2">
        <v>1</v>
      </c>
      <c r="E22" s="4">
        <f>VLOOKUP(C22,Products!$A:$E,4,FALSE())</f>
        <v>21.49</v>
      </c>
      <c r="F22" s="8">
        <v>0</v>
      </c>
      <c r="G22" s="4">
        <f t="shared" si="0"/>
        <v>21.49</v>
      </c>
      <c r="H22" s="4">
        <f>VLOOKUP(C22,Products!$A:$E,5,FALSE())</f>
        <v>8</v>
      </c>
      <c r="I22" s="4">
        <f t="shared" si="1"/>
        <v>21.49</v>
      </c>
      <c r="J22" s="4">
        <f t="shared" si="2"/>
        <v>13.489999999999998</v>
      </c>
      <c r="K22" s="9">
        <f t="shared" si="3"/>
        <v>0.62773382968822711</v>
      </c>
      <c r="L22" s="2" t="str">
        <f>IF(VLOOKUP(B22,Orders!$A:$D,4,FALSE())="Vrátená",INDEX({"Nevyhovujúca veľkosť";"Poškodený tovar pri doprave";"Produkt nezodpovedal popisu";"Zákazník zmenil názor";"Neskoré doručenie";"Chybný/vadný kus";"Duplicitná objednávka"},MOD(CODE(LEFT(A22,1))+LEN(A22),7)+1),"")</f>
        <v/>
      </c>
    </row>
    <row r="23" spans="1:12" x14ac:dyDescent="0.3">
      <c r="A23" s="5" t="s">
        <v>336</v>
      </c>
      <c r="B23" s="5" t="s">
        <v>35</v>
      </c>
      <c r="C23" s="5" t="s">
        <v>337</v>
      </c>
      <c r="D23" s="5">
        <v>1</v>
      </c>
      <c r="E23" s="7">
        <f>VLOOKUP(C23,Products!$A:$E,4,FALSE())</f>
        <v>17.989999999999998</v>
      </c>
      <c r="F23" s="10">
        <v>0</v>
      </c>
      <c r="G23" s="7">
        <f t="shared" si="0"/>
        <v>17.989999999999998</v>
      </c>
      <c r="H23" s="7">
        <f>VLOOKUP(C23,Products!$A:$E,5,FALSE())</f>
        <v>7</v>
      </c>
      <c r="I23" s="7">
        <f t="shared" si="1"/>
        <v>17.989999999999998</v>
      </c>
      <c r="J23" s="7">
        <f t="shared" si="2"/>
        <v>10.989999999999998</v>
      </c>
      <c r="K23" s="11">
        <f t="shared" si="3"/>
        <v>0.61089494163424118</v>
      </c>
      <c r="L23" s="5" t="str">
        <f>IF(VLOOKUP(B23,Orders!$A:$D,4,FALSE())="Vrátená",INDEX({"Nevyhovujúca veľkosť";"Poškodený tovar pri doprave";"Produkt nezodpovedal popisu";"Zákazník zmenil názor";"Neskoré doručenie";"Chybný/vadný kus";"Duplicitná objednávka"},MOD(CODE(LEFT(A23,1))+LEN(A23),7)+1),"")</f>
        <v/>
      </c>
    </row>
    <row r="24" spans="1:12" x14ac:dyDescent="0.3">
      <c r="A24" s="2" t="s">
        <v>338</v>
      </c>
      <c r="B24" s="2" t="s">
        <v>35</v>
      </c>
      <c r="C24" s="2" t="s">
        <v>306</v>
      </c>
      <c r="D24" s="2">
        <v>1</v>
      </c>
      <c r="E24" s="4">
        <f>VLOOKUP(C24,Products!$A:$E,4,FALSE())</f>
        <v>34.99</v>
      </c>
      <c r="F24" s="8">
        <v>0</v>
      </c>
      <c r="G24" s="4">
        <f t="shared" si="0"/>
        <v>34.99</v>
      </c>
      <c r="H24" s="4">
        <f>VLOOKUP(C24,Products!$A:$E,5,FALSE())</f>
        <v>15</v>
      </c>
      <c r="I24" s="4">
        <f t="shared" si="1"/>
        <v>34.99</v>
      </c>
      <c r="J24" s="4">
        <f t="shared" si="2"/>
        <v>19.990000000000002</v>
      </c>
      <c r="K24" s="9">
        <f t="shared" si="3"/>
        <v>0.57130608745355815</v>
      </c>
      <c r="L24" s="2" t="str">
        <f>IF(VLOOKUP(B24,Orders!$A:$D,4,FALSE())="Vrátená",INDEX({"Nevyhovujúca veľkosť";"Poškodený tovar pri doprave";"Produkt nezodpovedal popisu";"Zákazník zmenil názor";"Neskoré doručenie";"Chybný/vadný kus";"Duplicitná objednávka"},MOD(CODE(LEFT(A24,1))+LEN(A24),7)+1),"")</f>
        <v/>
      </c>
    </row>
    <row r="25" spans="1:12" x14ac:dyDescent="0.3">
      <c r="A25" s="5" t="s">
        <v>339</v>
      </c>
      <c r="B25" s="5" t="s">
        <v>37</v>
      </c>
      <c r="C25" s="5" t="s">
        <v>340</v>
      </c>
      <c r="D25" s="5">
        <v>4</v>
      </c>
      <c r="E25" s="7">
        <f>VLOOKUP(C25,Products!$A:$E,4,FALSE())</f>
        <v>44.99</v>
      </c>
      <c r="F25" s="10">
        <v>0.1</v>
      </c>
      <c r="G25" s="7">
        <f t="shared" si="0"/>
        <v>40.491</v>
      </c>
      <c r="H25" s="7">
        <f>VLOOKUP(C25,Products!$A:$E,5,FALSE())</f>
        <v>18</v>
      </c>
      <c r="I25" s="7">
        <f t="shared" si="1"/>
        <v>161.964</v>
      </c>
      <c r="J25" s="7">
        <f t="shared" si="2"/>
        <v>89.963999999999999</v>
      </c>
      <c r="K25" s="11">
        <f t="shared" si="3"/>
        <v>0.55545676817070455</v>
      </c>
      <c r="L25" s="5" t="str">
        <f>IF(VLOOKUP(B25,Orders!$A:$D,4,FALSE())="Vrátená",INDEX({"Nevyhovujúca veľkosť";"Poškodený tovar pri doprave";"Produkt nezodpovedal popisu";"Zákazník zmenil názor";"Neskoré doručenie";"Chybný/vadný kus";"Duplicitná objednávka"},MOD(CODE(LEFT(A25,1))+LEN(A25),7)+1),"")</f>
        <v/>
      </c>
    </row>
    <row r="26" spans="1:12" x14ac:dyDescent="0.3">
      <c r="A26" s="2" t="s">
        <v>341</v>
      </c>
      <c r="B26" s="2" t="s">
        <v>38</v>
      </c>
      <c r="C26" s="2" t="s">
        <v>342</v>
      </c>
      <c r="D26" s="2">
        <v>1</v>
      </c>
      <c r="E26" s="4">
        <f>VLOOKUP(C26,Products!$A:$E,4,FALSE())</f>
        <v>29.99</v>
      </c>
      <c r="F26" s="8">
        <v>0</v>
      </c>
      <c r="G26" s="4">
        <f t="shared" si="0"/>
        <v>29.99</v>
      </c>
      <c r="H26" s="4">
        <f>VLOOKUP(C26,Products!$A:$E,5,FALSE())</f>
        <v>12.5</v>
      </c>
      <c r="I26" s="4">
        <f t="shared" si="1"/>
        <v>29.99</v>
      </c>
      <c r="J26" s="4">
        <f t="shared" si="2"/>
        <v>17.489999999999998</v>
      </c>
      <c r="K26" s="9">
        <f t="shared" si="3"/>
        <v>0.5831943981327109</v>
      </c>
      <c r="L26" s="2" t="str">
        <f>IF(VLOOKUP(B26,Orders!$A:$D,4,FALSE())="Vrátená",INDEX({"Nevyhovujúca veľkosť";"Poškodený tovar pri doprave";"Produkt nezodpovedal popisu";"Zákazník zmenil názor";"Neskoré doručenie";"Chybný/vadný kus";"Duplicitná objednávka"},MOD(CODE(LEFT(A26,1))+LEN(A26),7)+1),"")</f>
        <v/>
      </c>
    </row>
    <row r="27" spans="1:12" x14ac:dyDescent="0.3">
      <c r="A27" s="5" t="s">
        <v>343</v>
      </c>
      <c r="B27" s="5" t="s">
        <v>40</v>
      </c>
      <c r="C27" s="5" t="s">
        <v>328</v>
      </c>
      <c r="D27" s="5">
        <v>1</v>
      </c>
      <c r="E27" s="7">
        <f>VLOOKUP(C27,Products!$A:$E,4,FALSE())</f>
        <v>7.49</v>
      </c>
      <c r="F27" s="10">
        <v>0</v>
      </c>
      <c r="G27" s="7">
        <f t="shared" si="0"/>
        <v>7.49</v>
      </c>
      <c r="H27" s="7">
        <f>VLOOKUP(C27,Products!$A:$E,5,FALSE())</f>
        <v>2</v>
      </c>
      <c r="I27" s="7">
        <f t="shared" si="1"/>
        <v>7.49</v>
      </c>
      <c r="J27" s="7">
        <f t="shared" si="2"/>
        <v>5.49</v>
      </c>
      <c r="K27" s="11">
        <f t="shared" si="3"/>
        <v>0.73297730307076103</v>
      </c>
      <c r="L27" s="5" t="str">
        <f>IF(VLOOKUP(B27,Orders!$A:$D,4,FALSE())="Vrátená",INDEX({"Nevyhovujúca veľkosť";"Poškodený tovar pri doprave";"Produkt nezodpovedal popisu";"Zákazník zmenil názor";"Neskoré doručenie";"Chybný/vadný kus";"Duplicitná objednávka"},MOD(CODE(LEFT(A27,1))+LEN(A27),7)+1),"")</f>
        <v/>
      </c>
    </row>
    <row r="28" spans="1:12" x14ac:dyDescent="0.3">
      <c r="A28" s="2" t="s">
        <v>344</v>
      </c>
      <c r="B28" s="2" t="s">
        <v>40</v>
      </c>
      <c r="C28" s="2" t="s">
        <v>345</v>
      </c>
      <c r="D28" s="2">
        <v>1</v>
      </c>
      <c r="E28" s="4">
        <f>VLOOKUP(C28,Products!$A:$E,4,FALSE())</f>
        <v>13.49</v>
      </c>
      <c r="F28" s="8">
        <v>0.05</v>
      </c>
      <c r="G28" s="4">
        <f t="shared" si="0"/>
        <v>12.8155</v>
      </c>
      <c r="H28" s="4">
        <f>VLOOKUP(C28,Products!$A:$E,5,FALSE())</f>
        <v>4.5</v>
      </c>
      <c r="I28" s="4">
        <f t="shared" si="1"/>
        <v>12.8155</v>
      </c>
      <c r="J28" s="4">
        <f t="shared" si="2"/>
        <v>8.3155000000000001</v>
      </c>
      <c r="K28" s="9">
        <f t="shared" si="3"/>
        <v>0.64886270531777923</v>
      </c>
      <c r="L28" s="2" t="str">
        <f>IF(VLOOKUP(B28,Orders!$A:$D,4,FALSE())="Vrátená",INDEX({"Nevyhovujúca veľkosť";"Poškodený tovar pri doprave";"Produkt nezodpovedal popisu";"Zákazník zmenil názor";"Neskoré doručenie";"Chybný/vadný kus";"Duplicitná objednávka"},MOD(CODE(LEFT(A28,1))+LEN(A28),7)+1),"")</f>
        <v/>
      </c>
    </row>
    <row r="29" spans="1:12" x14ac:dyDescent="0.3">
      <c r="A29" s="5" t="s">
        <v>346</v>
      </c>
      <c r="B29" s="5" t="s">
        <v>40</v>
      </c>
      <c r="C29" s="5" t="s">
        <v>347</v>
      </c>
      <c r="D29" s="5">
        <v>1</v>
      </c>
      <c r="E29" s="7">
        <f>VLOOKUP(C29,Products!$A:$E,4,FALSE())</f>
        <v>18.989999999999998</v>
      </c>
      <c r="F29" s="10">
        <v>0.05</v>
      </c>
      <c r="G29" s="7">
        <f t="shared" si="0"/>
        <v>18.040499999999998</v>
      </c>
      <c r="H29" s="7">
        <f>VLOOKUP(C29,Products!$A:$E,5,FALSE())</f>
        <v>7.5</v>
      </c>
      <c r="I29" s="7">
        <f t="shared" si="1"/>
        <v>18.040499999999998</v>
      </c>
      <c r="J29" s="7">
        <f t="shared" si="2"/>
        <v>10.540499999999998</v>
      </c>
      <c r="K29" s="11">
        <f t="shared" si="3"/>
        <v>0.58426872869377233</v>
      </c>
      <c r="L29" s="5" t="str">
        <f>IF(VLOOKUP(B29,Orders!$A:$D,4,FALSE())="Vrátená",INDEX({"Nevyhovujúca veľkosť";"Poškodený tovar pri doprave";"Produkt nezodpovedal popisu";"Zákazník zmenil názor";"Neskoré doručenie";"Chybný/vadný kus";"Duplicitná objednávka"},MOD(CODE(LEFT(A29,1))+LEN(A29),7)+1),"")</f>
        <v/>
      </c>
    </row>
    <row r="30" spans="1:12" x14ac:dyDescent="0.3">
      <c r="A30" s="2" t="s">
        <v>348</v>
      </c>
      <c r="B30" s="2" t="s">
        <v>42</v>
      </c>
      <c r="C30" s="2" t="s">
        <v>349</v>
      </c>
      <c r="D30" s="2">
        <v>1</v>
      </c>
      <c r="E30" s="4">
        <f>VLOOKUP(C30,Products!$A:$E,4,FALSE())</f>
        <v>24.99</v>
      </c>
      <c r="F30" s="8">
        <v>0</v>
      </c>
      <c r="G30" s="4">
        <f t="shared" si="0"/>
        <v>24.99</v>
      </c>
      <c r="H30" s="4">
        <f>VLOOKUP(C30,Products!$A:$E,5,FALSE())</f>
        <v>10.5</v>
      </c>
      <c r="I30" s="4">
        <f t="shared" si="1"/>
        <v>24.99</v>
      </c>
      <c r="J30" s="4">
        <f t="shared" si="2"/>
        <v>14.489999999999998</v>
      </c>
      <c r="K30" s="9">
        <f t="shared" si="3"/>
        <v>0.57983193277310918</v>
      </c>
      <c r="L30" s="2" t="str">
        <f>IF(VLOOKUP(B30,Orders!$A:$D,4,FALSE())="Vrátená",INDEX({"Nevyhovujúca veľkosť";"Poškodený tovar pri doprave";"Produkt nezodpovedal popisu";"Zákazník zmenil názor";"Neskoré doručenie";"Chybný/vadný kus";"Duplicitná objednávka"},MOD(CODE(LEFT(A30,1))+LEN(A30),7)+1),"")</f>
        <v/>
      </c>
    </row>
    <row r="31" spans="1:12" x14ac:dyDescent="0.3">
      <c r="A31" s="5" t="s">
        <v>350</v>
      </c>
      <c r="B31" s="5" t="s">
        <v>44</v>
      </c>
      <c r="C31" s="5" t="s">
        <v>316</v>
      </c>
      <c r="D31" s="5">
        <v>2</v>
      </c>
      <c r="E31" s="7">
        <f>VLOOKUP(C31,Products!$A:$E,4,FALSE())</f>
        <v>39.99</v>
      </c>
      <c r="F31" s="10">
        <v>0.1</v>
      </c>
      <c r="G31" s="7">
        <f t="shared" si="0"/>
        <v>35.991</v>
      </c>
      <c r="H31" s="7">
        <f>VLOOKUP(C31,Products!$A:$E,5,FALSE())</f>
        <v>16</v>
      </c>
      <c r="I31" s="7">
        <f t="shared" si="1"/>
        <v>71.981999999999999</v>
      </c>
      <c r="J31" s="7">
        <f t="shared" si="2"/>
        <v>39.981999999999999</v>
      </c>
      <c r="K31" s="11">
        <f t="shared" si="3"/>
        <v>0.55544441665972044</v>
      </c>
      <c r="L31" s="5" t="str">
        <f>IF(VLOOKUP(B31,Orders!$A:$D,4,FALSE())="Vrátená",INDEX({"Nevyhovujúca veľkosť";"Poškodený tovar pri doprave";"Produkt nezodpovedal popisu";"Zákazník zmenil názor";"Neskoré doručenie";"Chybný/vadný kus";"Duplicitná objednávka"},MOD(CODE(LEFT(A31,1))+LEN(A31),7)+1),"")</f>
        <v/>
      </c>
    </row>
    <row r="32" spans="1:12" x14ac:dyDescent="0.3">
      <c r="A32" s="2" t="s">
        <v>351</v>
      </c>
      <c r="B32" s="2" t="s">
        <v>44</v>
      </c>
      <c r="C32" s="2" t="s">
        <v>352</v>
      </c>
      <c r="D32" s="2">
        <v>4</v>
      </c>
      <c r="E32" s="4">
        <f>VLOOKUP(C32,Products!$A:$E,4,FALSE())</f>
        <v>189.99</v>
      </c>
      <c r="F32" s="8">
        <v>0</v>
      </c>
      <c r="G32" s="4">
        <f t="shared" si="0"/>
        <v>189.99</v>
      </c>
      <c r="H32" s="4">
        <f>VLOOKUP(C32,Products!$A:$E,5,FALSE())</f>
        <v>110</v>
      </c>
      <c r="I32" s="4">
        <f t="shared" si="1"/>
        <v>759.96</v>
      </c>
      <c r="J32" s="4">
        <f t="shared" si="2"/>
        <v>319.96000000000004</v>
      </c>
      <c r="K32" s="9">
        <f t="shared" si="3"/>
        <v>0.42102215906100326</v>
      </c>
      <c r="L32" s="2" t="str">
        <f>IF(VLOOKUP(B32,Orders!$A:$D,4,FALSE())="Vrátená",INDEX({"Nevyhovujúca veľkosť";"Poškodený tovar pri doprave";"Produkt nezodpovedal popisu";"Zákazník zmenil názor";"Neskoré doručenie";"Chybný/vadný kus";"Duplicitná objednávka"},MOD(CODE(LEFT(A32,1))+LEN(A32),7)+1),"")</f>
        <v/>
      </c>
    </row>
    <row r="33" spans="1:12" x14ac:dyDescent="0.3">
      <c r="A33" s="5" t="s">
        <v>353</v>
      </c>
      <c r="B33" s="5" t="s">
        <v>46</v>
      </c>
      <c r="C33" s="5" t="s">
        <v>352</v>
      </c>
      <c r="D33" s="5">
        <v>3</v>
      </c>
      <c r="E33" s="7">
        <f>VLOOKUP(C33,Products!$A:$E,4,FALSE())</f>
        <v>189.99</v>
      </c>
      <c r="F33" s="10">
        <v>0.1</v>
      </c>
      <c r="G33" s="7">
        <f t="shared" si="0"/>
        <v>170.99100000000001</v>
      </c>
      <c r="H33" s="7">
        <f>VLOOKUP(C33,Products!$A:$E,5,FALSE())</f>
        <v>110</v>
      </c>
      <c r="I33" s="7">
        <f t="shared" si="1"/>
        <v>512.97300000000007</v>
      </c>
      <c r="J33" s="7">
        <f t="shared" si="2"/>
        <v>182.97300000000007</v>
      </c>
      <c r="K33" s="11">
        <f t="shared" si="3"/>
        <v>0.3566912878455592</v>
      </c>
      <c r="L33" s="5" t="str">
        <f>IF(VLOOKUP(B33,Orders!$A:$D,4,FALSE())="Vrátená",INDEX({"Nevyhovujúca veľkosť";"Poškodený tovar pri doprave";"Produkt nezodpovedal popisu";"Zákazník zmenil názor";"Neskoré doručenie";"Chybný/vadný kus";"Duplicitná objednávka"},MOD(CODE(LEFT(A33,1))+LEN(A33),7)+1),"")</f>
        <v/>
      </c>
    </row>
    <row r="34" spans="1:12" x14ac:dyDescent="0.3">
      <c r="A34" s="2" t="s">
        <v>354</v>
      </c>
      <c r="B34" s="2" t="s">
        <v>46</v>
      </c>
      <c r="C34" s="2" t="s">
        <v>355</v>
      </c>
      <c r="D34" s="2">
        <v>2</v>
      </c>
      <c r="E34" s="4">
        <f>VLOOKUP(C34,Products!$A:$E,4,FALSE())</f>
        <v>27.99</v>
      </c>
      <c r="F34" s="8">
        <v>0</v>
      </c>
      <c r="G34" s="4">
        <f t="shared" si="0"/>
        <v>27.99</v>
      </c>
      <c r="H34" s="4">
        <f>VLOOKUP(C34,Products!$A:$E,5,FALSE())</f>
        <v>12</v>
      </c>
      <c r="I34" s="4">
        <f t="shared" si="1"/>
        <v>55.98</v>
      </c>
      <c r="J34" s="4">
        <f t="shared" si="2"/>
        <v>31.979999999999997</v>
      </c>
      <c r="K34" s="9">
        <f t="shared" si="3"/>
        <v>0.5712754555198285</v>
      </c>
      <c r="L34" s="2" t="str">
        <f>IF(VLOOKUP(B34,Orders!$A:$D,4,FALSE())="Vrátená",INDEX({"Nevyhovujúca veľkosť";"Poškodený tovar pri doprave";"Produkt nezodpovedal popisu";"Zákazník zmenil názor";"Neskoré doručenie";"Chybný/vadný kus";"Duplicitná objednávka"},MOD(CODE(LEFT(A34,1))+LEN(A34),7)+1),"")</f>
        <v/>
      </c>
    </row>
    <row r="35" spans="1:12" x14ac:dyDescent="0.3">
      <c r="A35" s="5" t="s">
        <v>356</v>
      </c>
      <c r="B35" s="5" t="s">
        <v>48</v>
      </c>
      <c r="C35" s="5" t="s">
        <v>357</v>
      </c>
      <c r="D35" s="5">
        <v>2</v>
      </c>
      <c r="E35" s="7">
        <f>VLOOKUP(C35,Products!$A:$E,4,FALSE())</f>
        <v>13.99</v>
      </c>
      <c r="F35" s="10">
        <v>0.15</v>
      </c>
      <c r="G35" s="7">
        <f t="shared" si="0"/>
        <v>11.891500000000001</v>
      </c>
      <c r="H35" s="7">
        <f>VLOOKUP(C35,Products!$A:$E,5,FALSE())</f>
        <v>5.5</v>
      </c>
      <c r="I35" s="7">
        <f t="shared" si="1"/>
        <v>23.783000000000001</v>
      </c>
      <c r="J35" s="7">
        <f t="shared" si="2"/>
        <v>12.783000000000001</v>
      </c>
      <c r="K35" s="11">
        <f t="shared" si="3"/>
        <v>0.53748475802043483</v>
      </c>
      <c r="L35" s="5" t="str">
        <f>IF(VLOOKUP(B35,Orders!$A:$D,4,FALSE())="Vrátená",INDEX({"Nevyhovujúca veľkosť";"Poškodený tovar pri doprave";"Produkt nezodpovedal popisu";"Zákazník zmenil názor";"Neskoré doručenie";"Chybný/vadný kus";"Duplicitná objednávka"},MOD(CODE(LEFT(A35,1))+LEN(A35),7)+1),"")</f>
        <v/>
      </c>
    </row>
    <row r="36" spans="1:12" x14ac:dyDescent="0.3">
      <c r="A36" s="2" t="s">
        <v>358</v>
      </c>
      <c r="B36" s="2" t="s">
        <v>48</v>
      </c>
      <c r="C36" s="2" t="s">
        <v>359</v>
      </c>
      <c r="D36" s="2">
        <v>2</v>
      </c>
      <c r="E36" s="4">
        <f>VLOOKUP(C36,Products!$A:$E,4,FALSE())</f>
        <v>16.989999999999998</v>
      </c>
      <c r="F36" s="8">
        <v>0.1</v>
      </c>
      <c r="G36" s="4">
        <f t="shared" si="0"/>
        <v>15.290999999999999</v>
      </c>
      <c r="H36" s="4">
        <f>VLOOKUP(C36,Products!$A:$E,5,FALSE())</f>
        <v>6</v>
      </c>
      <c r="I36" s="4">
        <f t="shared" si="1"/>
        <v>30.581999999999997</v>
      </c>
      <c r="J36" s="4">
        <f t="shared" si="2"/>
        <v>18.581999999999997</v>
      </c>
      <c r="K36" s="9">
        <f t="shared" si="3"/>
        <v>0.60761232097312146</v>
      </c>
      <c r="L36" s="2" t="str">
        <f>IF(VLOOKUP(B36,Orders!$A:$D,4,FALSE())="Vrátená",INDEX({"Nevyhovujúca veľkosť";"Poškodený tovar pri doprave";"Produkt nezodpovedal popisu";"Zákazník zmenil názor";"Neskoré doručenie";"Chybný/vadný kus";"Duplicitná objednávka"},MOD(CODE(LEFT(A36,1))+LEN(A36),7)+1),"")</f>
        <v/>
      </c>
    </row>
    <row r="37" spans="1:12" x14ac:dyDescent="0.3">
      <c r="A37" s="5" t="s">
        <v>360</v>
      </c>
      <c r="B37" s="5" t="s">
        <v>50</v>
      </c>
      <c r="C37" s="5" t="s">
        <v>361</v>
      </c>
      <c r="D37" s="5">
        <v>3</v>
      </c>
      <c r="E37" s="7">
        <f>VLOOKUP(C37,Products!$A:$E,4,FALSE())</f>
        <v>27.49</v>
      </c>
      <c r="F37" s="10">
        <v>0.05</v>
      </c>
      <c r="G37" s="7">
        <f t="shared" si="0"/>
        <v>26.115499999999997</v>
      </c>
      <c r="H37" s="7">
        <f>VLOOKUP(C37,Products!$A:$E,5,FALSE())</f>
        <v>11</v>
      </c>
      <c r="I37" s="7">
        <f t="shared" si="1"/>
        <v>78.346499999999992</v>
      </c>
      <c r="J37" s="7">
        <f t="shared" si="2"/>
        <v>45.346499999999992</v>
      </c>
      <c r="K37" s="11">
        <f t="shared" si="3"/>
        <v>0.57879420267657133</v>
      </c>
      <c r="L37" s="5" t="str">
        <f>IF(VLOOKUP(B37,Orders!$A:$D,4,FALSE())="Vrátená",INDEX({"Nevyhovujúca veľkosť";"Poškodený tovar pri doprave";"Produkt nezodpovedal popisu";"Zákazník zmenil názor";"Neskoré doručenie";"Chybný/vadný kus";"Duplicitná objednávka"},MOD(CODE(LEFT(A37,1))+LEN(A37),7)+1),"")</f>
        <v/>
      </c>
    </row>
    <row r="38" spans="1:12" x14ac:dyDescent="0.3">
      <c r="A38" s="2" t="s">
        <v>362</v>
      </c>
      <c r="B38" s="2" t="s">
        <v>50</v>
      </c>
      <c r="C38" s="2" t="s">
        <v>340</v>
      </c>
      <c r="D38" s="2">
        <v>2</v>
      </c>
      <c r="E38" s="4">
        <f>VLOOKUP(C38,Products!$A:$E,4,FALSE())</f>
        <v>44.99</v>
      </c>
      <c r="F38" s="8">
        <v>0.05</v>
      </c>
      <c r="G38" s="4">
        <f t="shared" si="0"/>
        <v>42.740499999999997</v>
      </c>
      <c r="H38" s="4">
        <f>VLOOKUP(C38,Products!$A:$E,5,FALSE())</f>
        <v>18</v>
      </c>
      <c r="I38" s="4">
        <f t="shared" si="1"/>
        <v>85.480999999999995</v>
      </c>
      <c r="J38" s="4">
        <f t="shared" si="2"/>
        <v>49.480999999999995</v>
      </c>
      <c r="K38" s="9">
        <f t="shared" si="3"/>
        <v>0.57885378037224644</v>
      </c>
      <c r="L38" s="2" t="str">
        <f>IF(VLOOKUP(B38,Orders!$A:$D,4,FALSE())="Vrátená",INDEX({"Nevyhovujúca veľkosť";"Poškodený tovar pri doprave";"Produkt nezodpovedal popisu";"Zákazník zmenil názor";"Neskoré doručenie";"Chybný/vadný kus";"Duplicitná objednávka"},MOD(CODE(LEFT(A38,1))+LEN(A38),7)+1),"")</f>
        <v/>
      </c>
    </row>
    <row r="39" spans="1:12" x14ac:dyDescent="0.3">
      <c r="A39" s="5" t="s">
        <v>363</v>
      </c>
      <c r="B39" s="5" t="s">
        <v>51</v>
      </c>
      <c r="C39" s="5" t="s">
        <v>364</v>
      </c>
      <c r="D39" s="5">
        <v>1</v>
      </c>
      <c r="E39" s="7">
        <f>VLOOKUP(C39,Products!$A:$E,4,FALSE())</f>
        <v>49.99</v>
      </c>
      <c r="F39" s="10">
        <v>0.05</v>
      </c>
      <c r="G39" s="7">
        <f t="shared" si="0"/>
        <v>47.490499999999997</v>
      </c>
      <c r="H39" s="7">
        <f>VLOOKUP(C39,Products!$A:$E,5,FALSE())</f>
        <v>22</v>
      </c>
      <c r="I39" s="7">
        <f t="shared" si="1"/>
        <v>47.490499999999997</v>
      </c>
      <c r="J39" s="7">
        <f t="shared" si="2"/>
        <v>25.490499999999997</v>
      </c>
      <c r="K39" s="11">
        <f t="shared" si="3"/>
        <v>0.5367494551541887</v>
      </c>
      <c r="L39" s="5" t="str">
        <f>IF(VLOOKUP(B39,Orders!$A:$D,4,FALSE())="Vrátená",INDEX({"Nevyhovujúca veľkosť";"Poškodený tovar pri doprave";"Produkt nezodpovedal popisu";"Zákazník zmenil názor";"Neskoré doručenie";"Chybný/vadný kus";"Duplicitná objednávka"},MOD(CODE(LEFT(A39,1))+LEN(A39),7)+1),"")</f>
        <v/>
      </c>
    </row>
    <row r="40" spans="1:12" x14ac:dyDescent="0.3">
      <c r="A40" s="2" t="s">
        <v>365</v>
      </c>
      <c r="B40" s="2" t="s">
        <v>51</v>
      </c>
      <c r="C40" s="2" t="s">
        <v>334</v>
      </c>
      <c r="D40" s="2">
        <v>2</v>
      </c>
      <c r="E40" s="4">
        <f>VLOOKUP(C40,Products!$A:$E,4,FALSE())</f>
        <v>21.49</v>
      </c>
      <c r="F40" s="8">
        <v>0</v>
      </c>
      <c r="G40" s="4">
        <f t="shared" si="0"/>
        <v>21.49</v>
      </c>
      <c r="H40" s="4">
        <f>VLOOKUP(C40,Products!$A:$E,5,FALSE())</f>
        <v>8</v>
      </c>
      <c r="I40" s="4">
        <f t="shared" si="1"/>
        <v>42.98</v>
      </c>
      <c r="J40" s="4">
        <f t="shared" si="2"/>
        <v>26.979999999999997</v>
      </c>
      <c r="K40" s="9">
        <f t="shared" si="3"/>
        <v>0.62773382968822711</v>
      </c>
      <c r="L40" s="2" t="str">
        <f>IF(VLOOKUP(B40,Orders!$A:$D,4,FALSE())="Vrátená",INDEX({"Nevyhovujúca veľkosť";"Poškodený tovar pri doprave";"Produkt nezodpovedal popisu";"Zákazník zmenil názor";"Neskoré doručenie";"Chybný/vadný kus";"Duplicitná objednávka"},MOD(CODE(LEFT(A40,1))+LEN(A40),7)+1),"")</f>
        <v/>
      </c>
    </row>
    <row r="41" spans="1:12" x14ac:dyDescent="0.3">
      <c r="A41" s="5" t="s">
        <v>366</v>
      </c>
      <c r="B41" s="5" t="s">
        <v>51</v>
      </c>
      <c r="C41" s="5" t="s">
        <v>367</v>
      </c>
      <c r="D41" s="5">
        <v>3</v>
      </c>
      <c r="E41" s="7">
        <f>VLOOKUP(C41,Products!$A:$E,4,FALSE())</f>
        <v>24.99</v>
      </c>
      <c r="F41" s="10">
        <v>0.15</v>
      </c>
      <c r="G41" s="7">
        <f t="shared" si="0"/>
        <v>21.241499999999998</v>
      </c>
      <c r="H41" s="7">
        <f>VLOOKUP(C41,Products!$A:$E,5,FALSE())</f>
        <v>9.5</v>
      </c>
      <c r="I41" s="7">
        <f t="shared" si="1"/>
        <v>63.724499999999992</v>
      </c>
      <c r="J41" s="7">
        <f t="shared" si="2"/>
        <v>35.224499999999992</v>
      </c>
      <c r="K41" s="11">
        <f t="shared" si="3"/>
        <v>0.55276228138314143</v>
      </c>
      <c r="L41" s="5" t="str">
        <f>IF(VLOOKUP(B41,Orders!$A:$D,4,FALSE())="Vrátená",INDEX({"Nevyhovujúca veľkosť";"Poškodený tovar pri doprave";"Produkt nezodpovedal popisu";"Zákazník zmenil názor";"Neskoré doručenie";"Chybný/vadný kus";"Duplicitná objednávka"},MOD(CODE(LEFT(A41,1))+LEN(A41),7)+1),"")</f>
        <v/>
      </c>
    </row>
    <row r="42" spans="1:12" x14ac:dyDescent="0.3">
      <c r="A42" s="2" t="s">
        <v>368</v>
      </c>
      <c r="B42" s="2" t="s">
        <v>53</v>
      </c>
      <c r="C42" s="2" t="s">
        <v>318</v>
      </c>
      <c r="D42" s="2">
        <v>4</v>
      </c>
      <c r="E42" s="4">
        <f>VLOOKUP(C42,Products!$A:$E,4,FALSE())</f>
        <v>29.99</v>
      </c>
      <c r="F42" s="8">
        <v>0</v>
      </c>
      <c r="G42" s="4">
        <f t="shared" si="0"/>
        <v>29.99</v>
      </c>
      <c r="H42" s="4">
        <f>VLOOKUP(C42,Products!$A:$E,5,FALSE())</f>
        <v>13</v>
      </c>
      <c r="I42" s="4">
        <f t="shared" si="1"/>
        <v>119.96</v>
      </c>
      <c r="J42" s="4">
        <f t="shared" si="2"/>
        <v>67.959999999999994</v>
      </c>
      <c r="K42" s="9">
        <f t="shared" si="3"/>
        <v>0.5665221740580193</v>
      </c>
      <c r="L42" s="2" t="str">
        <f>IF(VLOOKUP(B42,Orders!$A:$D,4,FALSE())="Vrátená",INDEX({"Nevyhovujúca veľkosť";"Poškodený tovar pri doprave";"Produkt nezodpovedal popisu";"Zákazník zmenil názor";"Neskoré doručenie";"Chybný/vadný kus";"Duplicitná objednávka"},MOD(CODE(LEFT(A42,1))+LEN(A42),7)+1),"")</f>
        <v/>
      </c>
    </row>
    <row r="43" spans="1:12" x14ac:dyDescent="0.3">
      <c r="A43" s="5" t="s">
        <v>369</v>
      </c>
      <c r="B43" s="5" t="s">
        <v>53</v>
      </c>
      <c r="C43" s="5" t="s">
        <v>340</v>
      </c>
      <c r="D43" s="5">
        <v>1</v>
      </c>
      <c r="E43" s="7">
        <f>VLOOKUP(C43,Products!$A:$E,4,FALSE())</f>
        <v>44.99</v>
      </c>
      <c r="F43" s="10">
        <v>0.05</v>
      </c>
      <c r="G43" s="7">
        <f t="shared" si="0"/>
        <v>42.740499999999997</v>
      </c>
      <c r="H43" s="7">
        <f>VLOOKUP(C43,Products!$A:$E,5,FALSE())</f>
        <v>18</v>
      </c>
      <c r="I43" s="7">
        <f t="shared" si="1"/>
        <v>42.740499999999997</v>
      </c>
      <c r="J43" s="7">
        <f t="shared" si="2"/>
        <v>24.740499999999997</v>
      </c>
      <c r="K43" s="11">
        <f t="shared" si="3"/>
        <v>0.57885378037224644</v>
      </c>
      <c r="L43" s="5" t="str">
        <f>IF(VLOOKUP(B43,Orders!$A:$D,4,FALSE())="Vrátená",INDEX({"Nevyhovujúca veľkosť";"Poškodený tovar pri doprave";"Produkt nezodpovedal popisu";"Zákazník zmenil názor";"Neskoré doručenie";"Chybný/vadný kus";"Duplicitná objednávka"},MOD(CODE(LEFT(A43,1))+LEN(A43),7)+1),"")</f>
        <v/>
      </c>
    </row>
    <row r="44" spans="1:12" x14ac:dyDescent="0.3">
      <c r="A44" s="2" t="s">
        <v>370</v>
      </c>
      <c r="B44" s="2" t="s">
        <v>53</v>
      </c>
      <c r="C44" s="2" t="s">
        <v>304</v>
      </c>
      <c r="D44" s="2">
        <v>1</v>
      </c>
      <c r="E44" s="4">
        <f>VLOOKUP(C44,Products!$A:$E,4,FALSE())</f>
        <v>42.99</v>
      </c>
      <c r="F44" s="8">
        <v>0.05</v>
      </c>
      <c r="G44" s="4">
        <f t="shared" si="0"/>
        <v>40.840499999999999</v>
      </c>
      <c r="H44" s="4">
        <f>VLOOKUP(C44,Products!$A:$E,5,FALSE())</f>
        <v>19.5</v>
      </c>
      <c r="I44" s="4">
        <f t="shared" si="1"/>
        <v>40.840499999999999</v>
      </c>
      <c r="J44" s="4">
        <f t="shared" si="2"/>
        <v>21.340499999999999</v>
      </c>
      <c r="K44" s="9">
        <f t="shared" si="3"/>
        <v>0.52253277996106806</v>
      </c>
      <c r="L44" s="2" t="str">
        <f>IF(VLOOKUP(B44,Orders!$A:$D,4,FALSE())="Vrátená",INDEX({"Nevyhovujúca veľkosť";"Poškodený tovar pri doprave";"Produkt nezodpovedal popisu";"Zákazník zmenil názor";"Neskoré doručenie";"Chybný/vadný kus";"Duplicitná objednávka"},MOD(CODE(LEFT(A44,1))+LEN(A44),7)+1),"")</f>
        <v/>
      </c>
    </row>
    <row r="45" spans="1:12" x14ac:dyDescent="0.3">
      <c r="A45" s="5" t="s">
        <v>371</v>
      </c>
      <c r="B45" s="5" t="s">
        <v>53</v>
      </c>
      <c r="C45" s="5" t="s">
        <v>372</v>
      </c>
      <c r="D45" s="5">
        <v>1</v>
      </c>
      <c r="E45" s="7">
        <f>VLOOKUP(C45,Products!$A:$E,4,FALSE())</f>
        <v>39.99</v>
      </c>
      <c r="F45" s="10">
        <v>0.1</v>
      </c>
      <c r="G45" s="7">
        <f t="shared" si="0"/>
        <v>35.991</v>
      </c>
      <c r="H45" s="7">
        <f>VLOOKUP(C45,Products!$A:$E,5,FALSE())</f>
        <v>17</v>
      </c>
      <c r="I45" s="7">
        <f t="shared" si="1"/>
        <v>35.991</v>
      </c>
      <c r="J45" s="7">
        <f t="shared" si="2"/>
        <v>18.991</v>
      </c>
      <c r="K45" s="11">
        <f t="shared" si="3"/>
        <v>0.52765969270095303</v>
      </c>
      <c r="L45" s="5" t="str">
        <f>IF(VLOOKUP(B45,Orders!$A:$D,4,FALSE())="Vrátená",INDEX({"Nevyhovujúca veľkosť";"Poškodený tovar pri doprave";"Produkt nezodpovedal popisu";"Zákazník zmenil názor";"Neskoré doručenie";"Chybný/vadný kus";"Duplicitná objednávka"},MOD(CODE(LEFT(A45,1))+LEN(A45),7)+1),"")</f>
        <v/>
      </c>
    </row>
    <row r="46" spans="1:12" x14ac:dyDescent="0.3">
      <c r="A46" s="2" t="s">
        <v>373</v>
      </c>
      <c r="B46" s="2" t="s">
        <v>55</v>
      </c>
      <c r="C46" s="2" t="s">
        <v>359</v>
      </c>
      <c r="D46" s="2">
        <v>2</v>
      </c>
      <c r="E46" s="4">
        <f>VLOOKUP(C46,Products!$A:$E,4,FALSE())</f>
        <v>16.989999999999998</v>
      </c>
      <c r="F46" s="8">
        <v>0.1</v>
      </c>
      <c r="G46" s="4">
        <f t="shared" si="0"/>
        <v>15.290999999999999</v>
      </c>
      <c r="H46" s="4">
        <f>VLOOKUP(C46,Products!$A:$E,5,FALSE())</f>
        <v>6</v>
      </c>
      <c r="I46" s="4">
        <f t="shared" si="1"/>
        <v>30.581999999999997</v>
      </c>
      <c r="J46" s="4">
        <f t="shared" si="2"/>
        <v>18.581999999999997</v>
      </c>
      <c r="K46" s="9">
        <f t="shared" si="3"/>
        <v>0.60761232097312146</v>
      </c>
      <c r="L46" s="2" t="str">
        <f>IF(VLOOKUP(B46,Orders!$A:$D,4,FALSE())="Vrátená",INDEX({"Nevyhovujúca veľkosť";"Poškodený tovar pri doprave";"Produkt nezodpovedal popisu";"Zákazník zmenil názor";"Neskoré doručenie";"Chybný/vadný kus";"Duplicitná objednávka"},MOD(CODE(LEFT(A46,1))+LEN(A46),7)+1),"")</f>
        <v/>
      </c>
    </row>
    <row r="47" spans="1:12" x14ac:dyDescent="0.3">
      <c r="A47" s="5" t="s">
        <v>374</v>
      </c>
      <c r="B47" s="5" t="s">
        <v>55</v>
      </c>
      <c r="C47" s="5" t="s">
        <v>361</v>
      </c>
      <c r="D47" s="5">
        <v>1</v>
      </c>
      <c r="E47" s="7">
        <f>VLOOKUP(C47,Products!$A:$E,4,FALSE())</f>
        <v>27.49</v>
      </c>
      <c r="F47" s="10">
        <v>0.05</v>
      </c>
      <c r="G47" s="7">
        <f t="shared" si="0"/>
        <v>26.115499999999997</v>
      </c>
      <c r="H47" s="7">
        <f>VLOOKUP(C47,Products!$A:$E,5,FALSE())</f>
        <v>11</v>
      </c>
      <c r="I47" s="7">
        <f t="shared" si="1"/>
        <v>26.115499999999997</v>
      </c>
      <c r="J47" s="7">
        <f t="shared" si="2"/>
        <v>15.115499999999997</v>
      </c>
      <c r="K47" s="11">
        <f t="shared" si="3"/>
        <v>0.57879420267657133</v>
      </c>
      <c r="L47" s="5" t="str">
        <f>IF(VLOOKUP(B47,Orders!$A:$D,4,FALSE())="Vrátená",INDEX({"Nevyhovujúca veľkosť";"Poškodený tovar pri doprave";"Produkt nezodpovedal popisu";"Zákazník zmenil názor";"Neskoré doručenie";"Chybný/vadný kus";"Duplicitná objednávka"},MOD(CODE(LEFT(A47,1))+LEN(A47),7)+1),"")</f>
        <v/>
      </c>
    </row>
    <row r="48" spans="1:12" x14ac:dyDescent="0.3">
      <c r="A48" s="2" t="s">
        <v>375</v>
      </c>
      <c r="B48" s="2" t="s">
        <v>56</v>
      </c>
      <c r="C48" s="2" t="s">
        <v>302</v>
      </c>
      <c r="D48" s="2">
        <v>4</v>
      </c>
      <c r="E48" s="4">
        <f>VLOOKUP(C48,Products!$A:$E,4,FALSE())</f>
        <v>54.99</v>
      </c>
      <c r="F48" s="8">
        <v>0</v>
      </c>
      <c r="G48" s="4">
        <f t="shared" si="0"/>
        <v>54.99</v>
      </c>
      <c r="H48" s="4">
        <f>VLOOKUP(C48,Products!$A:$E,5,FALSE())</f>
        <v>22</v>
      </c>
      <c r="I48" s="4">
        <f t="shared" si="1"/>
        <v>219.96</v>
      </c>
      <c r="J48" s="4">
        <f t="shared" si="2"/>
        <v>131.96</v>
      </c>
      <c r="K48" s="9">
        <f t="shared" si="3"/>
        <v>0.59992725950172765</v>
      </c>
      <c r="L48" s="2" t="str">
        <f>IF(VLOOKUP(B48,Orders!$A:$D,4,FALSE())="Vrátená",INDEX({"Nevyhovujúca veľkosť";"Poškodený tovar pri doprave";"Produkt nezodpovedal popisu";"Zákazník zmenil názor";"Neskoré doručenie";"Chybný/vadný kus";"Duplicitná objednávka"},MOD(CODE(LEFT(A48,1))+LEN(A48),7)+1),"")</f>
        <v/>
      </c>
    </row>
    <row r="49" spans="1:12" x14ac:dyDescent="0.3">
      <c r="A49" s="5" t="s">
        <v>376</v>
      </c>
      <c r="B49" s="5" t="s">
        <v>56</v>
      </c>
      <c r="C49" s="5" t="s">
        <v>332</v>
      </c>
      <c r="D49" s="5">
        <v>1</v>
      </c>
      <c r="E49" s="7">
        <f>VLOOKUP(C49,Products!$A:$E,4,FALSE())</f>
        <v>14.99</v>
      </c>
      <c r="F49" s="10">
        <v>0.15</v>
      </c>
      <c r="G49" s="7">
        <f t="shared" si="0"/>
        <v>12.7415</v>
      </c>
      <c r="H49" s="7">
        <f>VLOOKUP(C49,Products!$A:$E,5,FALSE())</f>
        <v>5</v>
      </c>
      <c r="I49" s="7">
        <f t="shared" si="1"/>
        <v>12.7415</v>
      </c>
      <c r="J49" s="7">
        <f t="shared" si="2"/>
        <v>7.7415000000000003</v>
      </c>
      <c r="K49" s="11">
        <f t="shared" si="3"/>
        <v>0.60758152493819406</v>
      </c>
      <c r="L49" s="5" t="str">
        <f>IF(VLOOKUP(B49,Orders!$A:$D,4,FALSE())="Vrátená",INDEX({"Nevyhovujúca veľkosť";"Poškodený tovar pri doprave";"Produkt nezodpovedal popisu";"Zákazník zmenil názor";"Neskoré doručenie";"Chybný/vadný kus";"Duplicitná objednávka"},MOD(CODE(LEFT(A49,1))+LEN(A49),7)+1),"")</f>
        <v/>
      </c>
    </row>
    <row r="50" spans="1:12" x14ac:dyDescent="0.3">
      <c r="A50" s="2" t="s">
        <v>377</v>
      </c>
      <c r="B50" s="2" t="s">
        <v>56</v>
      </c>
      <c r="C50" s="2" t="s">
        <v>378</v>
      </c>
      <c r="D50" s="2">
        <v>5</v>
      </c>
      <c r="E50" s="4">
        <f>VLOOKUP(C50,Products!$A:$E,4,FALSE())</f>
        <v>37.49</v>
      </c>
      <c r="F50" s="8">
        <v>0</v>
      </c>
      <c r="G50" s="4">
        <f t="shared" si="0"/>
        <v>37.49</v>
      </c>
      <c r="H50" s="4">
        <f>VLOOKUP(C50,Products!$A:$E,5,FALSE())</f>
        <v>15</v>
      </c>
      <c r="I50" s="4">
        <f t="shared" si="1"/>
        <v>187.45000000000002</v>
      </c>
      <c r="J50" s="4">
        <f t="shared" si="2"/>
        <v>112.45000000000002</v>
      </c>
      <c r="K50" s="9">
        <f t="shared" si="3"/>
        <v>0.59989330488130177</v>
      </c>
      <c r="L50" s="2" t="str">
        <f>IF(VLOOKUP(B50,Orders!$A:$D,4,FALSE())="Vrátená",INDEX({"Nevyhovujúca veľkosť";"Poškodený tovar pri doprave";"Produkt nezodpovedal popisu";"Zákazník zmenil názor";"Neskoré doručenie";"Chybný/vadný kus";"Duplicitná objednávka"},MOD(CODE(LEFT(A50,1))+LEN(A50),7)+1),"")</f>
        <v/>
      </c>
    </row>
    <row r="51" spans="1:12" x14ac:dyDescent="0.3">
      <c r="A51" s="5" t="s">
        <v>379</v>
      </c>
      <c r="B51" s="5" t="s">
        <v>56</v>
      </c>
      <c r="C51" s="5" t="s">
        <v>322</v>
      </c>
      <c r="D51" s="5">
        <v>1</v>
      </c>
      <c r="E51" s="7">
        <f>VLOOKUP(C51,Products!$A:$E,4,FALSE())</f>
        <v>104.99</v>
      </c>
      <c r="F51" s="10">
        <v>0</v>
      </c>
      <c r="G51" s="7">
        <f t="shared" si="0"/>
        <v>104.99</v>
      </c>
      <c r="H51" s="7">
        <f>VLOOKUP(C51,Products!$A:$E,5,FALSE())</f>
        <v>55</v>
      </c>
      <c r="I51" s="7">
        <f t="shared" si="1"/>
        <v>104.99</v>
      </c>
      <c r="J51" s="7">
        <f t="shared" si="2"/>
        <v>49.989999999999995</v>
      </c>
      <c r="K51" s="11">
        <f t="shared" si="3"/>
        <v>0.47614058481760163</v>
      </c>
      <c r="L51" s="5" t="str">
        <f>IF(VLOOKUP(B51,Orders!$A:$D,4,FALSE())="Vrátená",INDEX({"Nevyhovujúca veľkosť";"Poškodený tovar pri doprave";"Produkt nezodpovedal popisu";"Zákazník zmenil názor";"Neskoré doručenie";"Chybný/vadný kus";"Duplicitná objednávka"},MOD(CODE(LEFT(A51,1))+LEN(A51),7)+1),"")</f>
        <v/>
      </c>
    </row>
    <row r="52" spans="1:12" x14ac:dyDescent="0.3">
      <c r="A52" s="2" t="s">
        <v>380</v>
      </c>
      <c r="B52" s="2" t="s">
        <v>58</v>
      </c>
      <c r="C52" s="2" t="s">
        <v>300</v>
      </c>
      <c r="D52" s="2">
        <v>1</v>
      </c>
      <c r="E52" s="4">
        <f>VLOOKUP(C52,Products!$A:$E,4,FALSE())</f>
        <v>39.99</v>
      </c>
      <c r="F52" s="8">
        <v>0.15</v>
      </c>
      <c r="G52" s="4">
        <f t="shared" si="0"/>
        <v>33.991500000000002</v>
      </c>
      <c r="H52" s="4">
        <f>VLOOKUP(C52,Products!$A:$E,5,FALSE())</f>
        <v>17</v>
      </c>
      <c r="I52" s="4">
        <f t="shared" si="1"/>
        <v>33.991500000000002</v>
      </c>
      <c r="J52" s="4">
        <f t="shared" si="2"/>
        <v>16.991500000000002</v>
      </c>
      <c r="K52" s="9">
        <f t="shared" si="3"/>
        <v>0.49987496874218557</v>
      </c>
      <c r="L52" s="2" t="str">
        <f>IF(VLOOKUP(B52,Orders!$A:$D,4,FALSE())="Vrátená",INDEX({"Nevyhovujúca veľkosť";"Poškodený tovar pri doprave";"Produkt nezodpovedal popisu";"Zákazník zmenil názor";"Neskoré doručenie";"Chybný/vadný kus";"Duplicitná objednávka"},MOD(CODE(LEFT(A52,1))+LEN(A52),7)+1),"")</f>
        <v/>
      </c>
    </row>
    <row r="53" spans="1:12" x14ac:dyDescent="0.3">
      <c r="A53" s="5" t="s">
        <v>381</v>
      </c>
      <c r="B53" s="5" t="s">
        <v>58</v>
      </c>
      <c r="C53" s="5" t="s">
        <v>382</v>
      </c>
      <c r="D53" s="5">
        <v>2</v>
      </c>
      <c r="E53" s="7">
        <f>VLOOKUP(C53,Products!$A:$E,4,FALSE())</f>
        <v>6.99</v>
      </c>
      <c r="F53" s="10">
        <v>0.15</v>
      </c>
      <c r="G53" s="7">
        <f t="shared" si="0"/>
        <v>5.9415000000000004</v>
      </c>
      <c r="H53" s="7">
        <f>VLOOKUP(C53,Products!$A:$E,5,FALSE())</f>
        <v>2</v>
      </c>
      <c r="I53" s="7">
        <f t="shared" si="1"/>
        <v>11.883000000000001</v>
      </c>
      <c r="J53" s="7">
        <f t="shared" si="2"/>
        <v>7.8830000000000009</v>
      </c>
      <c r="K53" s="11">
        <f t="shared" si="3"/>
        <v>0.66338466717158973</v>
      </c>
      <c r="L53" s="5" t="str">
        <f>IF(VLOOKUP(B53,Orders!$A:$D,4,FALSE())="Vrátená",INDEX({"Nevyhovujúca veľkosť";"Poškodený tovar pri doprave";"Produkt nezodpovedal popisu";"Zákazník zmenil názor";"Neskoré doručenie";"Chybný/vadný kus";"Duplicitná objednávka"},MOD(CODE(LEFT(A53,1))+LEN(A53),7)+1),"")</f>
        <v/>
      </c>
    </row>
    <row r="54" spans="1:12" x14ac:dyDescent="0.3">
      <c r="A54" s="2" t="s">
        <v>383</v>
      </c>
      <c r="B54" s="2" t="s">
        <v>60</v>
      </c>
      <c r="C54" s="2" t="s">
        <v>357</v>
      </c>
      <c r="D54" s="2">
        <v>1</v>
      </c>
      <c r="E54" s="4">
        <f>VLOOKUP(C54,Products!$A:$E,4,FALSE())</f>
        <v>13.99</v>
      </c>
      <c r="F54" s="8">
        <v>0</v>
      </c>
      <c r="G54" s="4">
        <f t="shared" si="0"/>
        <v>13.99</v>
      </c>
      <c r="H54" s="4">
        <f>VLOOKUP(C54,Products!$A:$E,5,FALSE())</f>
        <v>5.5</v>
      </c>
      <c r="I54" s="4">
        <f t="shared" si="1"/>
        <v>13.99</v>
      </c>
      <c r="J54" s="4">
        <f t="shared" si="2"/>
        <v>8.49</v>
      </c>
      <c r="K54" s="9">
        <f t="shared" si="3"/>
        <v>0.60686204431736956</v>
      </c>
      <c r="L54" s="2" t="str">
        <f>IF(VLOOKUP(B54,Orders!$A:$D,4,FALSE())="Vrátená",INDEX({"Nevyhovujúca veľkosť";"Poškodený tovar pri doprave";"Produkt nezodpovedal popisu";"Zákazník zmenil názor";"Neskoré doručenie";"Chybný/vadný kus";"Duplicitná objednávka"},MOD(CODE(LEFT(A54,1))+LEN(A54),7)+1),"")</f>
        <v/>
      </c>
    </row>
    <row r="55" spans="1:12" x14ac:dyDescent="0.3">
      <c r="A55" s="5" t="s">
        <v>384</v>
      </c>
      <c r="B55" s="5" t="s">
        <v>60</v>
      </c>
      <c r="C55" s="5" t="s">
        <v>310</v>
      </c>
      <c r="D55" s="5">
        <v>1</v>
      </c>
      <c r="E55" s="7">
        <f>VLOOKUP(C55,Products!$A:$E,4,FALSE())</f>
        <v>34.99</v>
      </c>
      <c r="F55" s="10">
        <v>0</v>
      </c>
      <c r="G55" s="7">
        <f t="shared" si="0"/>
        <v>34.99</v>
      </c>
      <c r="H55" s="7">
        <f>VLOOKUP(C55,Products!$A:$E,5,FALSE())</f>
        <v>14</v>
      </c>
      <c r="I55" s="7">
        <f t="shared" si="1"/>
        <v>34.99</v>
      </c>
      <c r="J55" s="7">
        <f t="shared" si="2"/>
        <v>20.990000000000002</v>
      </c>
      <c r="K55" s="11">
        <f t="shared" si="3"/>
        <v>0.59988568162332101</v>
      </c>
      <c r="L55" s="5" t="str">
        <f>IF(VLOOKUP(B55,Orders!$A:$D,4,FALSE())="Vrátená",INDEX({"Nevyhovujúca veľkosť";"Poškodený tovar pri doprave";"Produkt nezodpovedal popisu";"Zákazník zmenil názor";"Neskoré doručenie";"Chybný/vadný kus";"Duplicitná objednávka"},MOD(CODE(LEFT(A55,1))+LEN(A55),7)+1),"")</f>
        <v/>
      </c>
    </row>
    <row r="56" spans="1:12" x14ac:dyDescent="0.3">
      <c r="A56" s="2" t="s">
        <v>385</v>
      </c>
      <c r="B56" s="2" t="s">
        <v>62</v>
      </c>
      <c r="C56" s="2" t="s">
        <v>386</v>
      </c>
      <c r="D56" s="2">
        <v>1</v>
      </c>
      <c r="E56" s="4">
        <f>VLOOKUP(C56,Products!$A:$E,4,FALSE())</f>
        <v>64.989999999999995</v>
      </c>
      <c r="F56" s="8">
        <v>0.1</v>
      </c>
      <c r="G56" s="4">
        <f t="shared" si="0"/>
        <v>58.491</v>
      </c>
      <c r="H56" s="4">
        <f>VLOOKUP(C56,Products!$A:$E,5,FALSE())</f>
        <v>28</v>
      </c>
      <c r="I56" s="4">
        <f t="shared" si="1"/>
        <v>58.491</v>
      </c>
      <c r="J56" s="4">
        <f t="shared" si="2"/>
        <v>30.491</v>
      </c>
      <c r="K56" s="9">
        <f t="shared" si="3"/>
        <v>0.5212938742712554</v>
      </c>
      <c r="L56" s="2" t="str">
        <f>IF(VLOOKUP(B56,Orders!$A:$D,4,FALSE())="Vrátená",INDEX({"Nevyhovujúca veľkosť";"Poškodený tovar pri doprave";"Produkt nezodpovedal popisu";"Zákazník zmenil názor";"Neskoré doručenie";"Chybný/vadný kus";"Duplicitná objednávka"},MOD(CODE(LEFT(A56,1))+LEN(A56),7)+1),"")</f>
        <v/>
      </c>
    </row>
    <row r="57" spans="1:12" x14ac:dyDescent="0.3">
      <c r="A57" s="5" t="s">
        <v>387</v>
      </c>
      <c r="B57" s="5" t="s">
        <v>64</v>
      </c>
      <c r="C57" s="5" t="s">
        <v>330</v>
      </c>
      <c r="D57" s="5">
        <v>1</v>
      </c>
      <c r="E57" s="7">
        <f>VLOOKUP(C57,Products!$A:$E,4,FALSE())</f>
        <v>14.99</v>
      </c>
      <c r="F57" s="10">
        <v>0</v>
      </c>
      <c r="G57" s="7">
        <f t="shared" si="0"/>
        <v>14.99</v>
      </c>
      <c r="H57" s="7">
        <f>VLOOKUP(C57,Products!$A:$E,5,FALSE())</f>
        <v>5.5</v>
      </c>
      <c r="I57" s="7">
        <f t="shared" si="1"/>
        <v>14.99</v>
      </c>
      <c r="J57" s="7">
        <f t="shared" si="2"/>
        <v>9.49</v>
      </c>
      <c r="K57" s="11">
        <f t="shared" si="3"/>
        <v>0.63308872581721143</v>
      </c>
      <c r="L57" s="5" t="str">
        <f>IF(VLOOKUP(B57,Orders!$A:$D,4,FALSE())="Vrátená",INDEX({"Nevyhovujúca veľkosť";"Poškodený tovar pri doprave";"Produkt nezodpovedal popisu";"Zákazník zmenil názor";"Neskoré doručenie";"Chybný/vadný kus";"Duplicitná objednávka"},MOD(CODE(LEFT(A57,1))+LEN(A57),7)+1),"")</f>
        <v/>
      </c>
    </row>
    <row r="58" spans="1:12" x14ac:dyDescent="0.3">
      <c r="A58" s="2" t="s">
        <v>388</v>
      </c>
      <c r="B58" s="2" t="s">
        <v>64</v>
      </c>
      <c r="C58" s="2" t="s">
        <v>300</v>
      </c>
      <c r="D58" s="2">
        <v>3</v>
      </c>
      <c r="E58" s="4">
        <f>VLOOKUP(C58,Products!$A:$E,4,FALSE())</f>
        <v>39.99</v>
      </c>
      <c r="F58" s="8">
        <v>0</v>
      </c>
      <c r="G58" s="4">
        <f t="shared" si="0"/>
        <v>39.99</v>
      </c>
      <c r="H58" s="4">
        <f>VLOOKUP(C58,Products!$A:$E,5,FALSE())</f>
        <v>17</v>
      </c>
      <c r="I58" s="4">
        <f t="shared" si="1"/>
        <v>119.97</v>
      </c>
      <c r="J58" s="4">
        <f t="shared" si="2"/>
        <v>68.97</v>
      </c>
      <c r="K58" s="9">
        <f t="shared" si="3"/>
        <v>0.57489372343085776</v>
      </c>
      <c r="L58" s="2" t="str">
        <f>IF(VLOOKUP(B58,Orders!$A:$D,4,FALSE())="Vrátená",INDEX({"Nevyhovujúca veľkosť";"Poškodený tovar pri doprave";"Produkt nezodpovedal popisu";"Zákazník zmenil názor";"Neskoré doručenie";"Chybný/vadný kus";"Duplicitná objednávka"},MOD(CODE(LEFT(A58,1))+LEN(A58),7)+1),"")</f>
        <v/>
      </c>
    </row>
    <row r="59" spans="1:12" x14ac:dyDescent="0.3">
      <c r="A59" s="5" t="s">
        <v>389</v>
      </c>
      <c r="B59" s="5" t="s">
        <v>64</v>
      </c>
      <c r="C59" s="5" t="s">
        <v>382</v>
      </c>
      <c r="D59" s="5">
        <v>4</v>
      </c>
      <c r="E59" s="7">
        <f>VLOOKUP(C59,Products!$A:$E,4,FALSE())</f>
        <v>6.99</v>
      </c>
      <c r="F59" s="10">
        <v>0.1</v>
      </c>
      <c r="G59" s="7">
        <f t="shared" si="0"/>
        <v>6.2910000000000004</v>
      </c>
      <c r="H59" s="7">
        <f>VLOOKUP(C59,Products!$A:$E,5,FALSE())</f>
        <v>2</v>
      </c>
      <c r="I59" s="7">
        <f t="shared" si="1"/>
        <v>25.164000000000001</v>
      </c>
      <c r="J59" s="7">
        <f t="shared" si="2"/>
        <v>17.164000000000001</v>
      </c>
      <c r="K59" s="11">
        <f t="shared" si="3"/>
        <v>0.68208551899539027</v>
      </c>
      <c r="L59" s="5" t="str">
        <f>IF(VLOOKUP(B59,Orders!$A:$D,4,FALSE())="Vrátená",INDEX({"Nevyhovujúca veľkosť";"Poškodený tovar pri doprave";"Produkt nezodpovedal popisu";"Zákazník zmenil názor";"Neskoré doručenie";"Chybný/vadný kus";"Duplicitná objednávka"},MOD(CODE(LEFT(A59,1))+LEN(A59),7)+1),"")</f>
        <v/>
      </c>
    </row>
    <row r="60" spans="1:12" x14ac:dyDescent="0.3">
      <c r="A60" s="2" t="s">
        <v>390</v>
      </c>
      <c r="B60" s="2" t="s">
        <v>65</v>
      </c>
      <c r="C60" s="2" t="s">
        <v>337</v>
      </c>
      <c r="D60" s="2">
        <v>1</v>
      </c>
      <c r="E60" s="4">
        <f>VLOOKUP(C60,Products!$A:$E,4,FALSE())</f>
        <v>17.989999999999998</v>
      </c>
      <c r="F60" s="8">
        <v>0</v>
      </c>
      <c r="G60" s="4">
        <f t="shared" si="0"/>
        <v>17.989999999999998</v>
      </c>
      <c r="H60" s="4">
        <f>VLOOKUP(C60,Products!$A:$E,5,FALSE())</f>
        <v>7</v>
      </c>
      <c r="I60" s="4">
        <f t="shared" si="1"/>
        <v>17.989999999999998</v>
      </c>
      <c r="J60" s="4">
        <f t="shared" si="2"/>
        <v>10.989999999999998</v>
      </c>
      <c r="K60" s="9">
        <f t="shared" si="3"/>
        <v>0.61089494163424118</v>
      </c>
      <c r="L60" s="2" t="str">
        <f>IF(VLOOKUP(B60,Orders!$A:$D,4,FALSE())="Vrátená",INDEX({"Nevyhovujúca veľkosť";"Poškodený tovar pri doprave";"Produkt nezodpovedal popisu";"Zákazník zmenil názor";"Neskoré doručenie";"Chybný/vadný kus";"Duplicitná objednávka"},MOD(CODE(LEFT(A60,1))+LEN(A60),7)+1),"")</f>
        <v/>
      </c>
    </row>
    <row r="61" spans="1:12" x14ac:dyDescent="0.3">
      <c r="A61" s="5" t="s">
        <v>391</v>
      </c>
      <c r="B61" s="5" t="s">
        <v>65</v>
      </c>
      <c r="C61" s="5" t="s">
        <v>352</v>
      </c>
      <c r="D61" s="5">
        <v>2</v>
      </c>
      <c r="E61" s="7">
        <f>VLOOKUP(C61,Products!$A:$E,4,FALSE())</f>
        <v>189.99</v>
      </c>
      <c r="F61" s="10">
        <v>0</v>
      </c>
      <c r="G61" s="7">
        <f t="shared" si="0"/>
        <v>189.99</v>
      </c>
      <c r="H61" s="7">
        <f>VLOOKUP(C61,Products!$A:$E,5,FALSE())</f>
        <v>110</v>
      </c>
      <c r="I61" s="7">
        <f t="shared" si="1"/>
        <v>379.98</v>
      </c>
      <c r="J61" s="7">
        <f t="shared" si="2"/>
        <v>159.98000000000002</v>
      </c>
      <c r="K61" s="11">
        <f t="shared" si="3"/>
        <v>0.42102215906100326</v>
      </c>
      <c r="L61" s="5" t="str">
        <f>IF(VLOOKUP(B61,Orders!$A:$D,4,FALSE())="Vrátená",INDEX({"Nevyhovujúca veľkosť";"Poškodený tovar pri doprave";"Produkt nezodpovedal popisu";"Zákazník zmenil názor";"Neskoré doručenie";"Chybný/vadný kus";"Duplicitná objednávka"},MOD(CODE(LEFT(A61,1))+LEN(A61),7)+1),"")</f>
        <v/>
      </c>
    </row>
    <row r="62" spans="1:12" x14ac:dyDescent="0.3">
      <c r="A62" s="2" t="s">
        <v>392</v>
      </c>
      <c r="B62" s="2" t="s">
        <v>67</v>
      </c>
      <c r="C62" s="2" t="s">
        <v>302</v>
      </c>
      <c r="D62" s="2">
        <v>2</v>
      </c>
      <c r="E62" s="4">
        <f>VLOOKUP(C62,Products!$A:$E,4,FALSE())</f>
        <v>54.99</v>
      </c>
      <c r="F62" s="8">
        <v>0</v>
      </c>
      <c r="G62" s="4">
        <f t="shared" si="0"/>
        <v>54.99</v>
      </c>
      <c r="H62" s="4">
        <f>VLOOKUP(C62,Products!$A:$E,5,FALSE())</f>
        <v>22</v>
      </c>
      <c r="I62" s="4">
        <f t="shared" si="1"/>
        <v>109.98</v>
      </c>
      <c r="J62" s="4">
        <f t="shared" si="2"/>
        <v>65.98</v>
      </c>
      <c r="K62" s="9">
        <f t="shared" si="3"/>
        <v>0.59992725950172765</v>
      </c>
      <c r="L62" s="2" t="str">
        <f>IF(VLOOKUP(B62,Orders!$A:$D,4,FALSE())="Vrátená",INDEX({"Nevyhovujúca veľkosť";"Poškodený tovar pri doprave";"Produkt nezodpovedal popisu";"Zákazník zmenil názor";"Neskoré doručenie";"Chybný/vadný kus";"Duplicitná objednávka"},MOD(CODE(LEFT(A62,1))+LEN(A62),7)+1),"")</f>
        <v/>
      </c>
    </row>
    <row r="63" spans="1:12" x14ac:dyDescent="0.3">
      <c r="A63" s="5" t="s">
        <v>393</v>
      </c>
      <c r="B63" s="5" t="s">
        <v>67</v>
      </c>
      <c r="C63" s="5" t="s">
        <v>328</v>
      </c>
      <c r="D63" s="5">
        <v>2</v>
      </c>
      <c r="E63" s="7">
        <f>VLOOKUP(C63,Products!$A:$E,4,FALSE())</f>
        <v>7.49</v>
      </c>
      <c r="F63" s="10">
        <v>0</v>
      </c>
      <c r="G63" s="7">
        <f t="shared" si="0"/>
        <v>7.49</v>
      </c>
      <c r="H63" s="7">
        <f>VLOOKUP(C63,Products!$A:$E,5,FALSE())</f>
        <v>2</v>
      </c>
      <c r="I63" s="7">
        <f t="shared" si="1"/>
        <v>14.98</v>
      </c>
      <c r="J63" s="7">
        <f t="shared" si="2"/>
        <v>10.98</v>
      </c>
      <c r="K63" s="11">
        <f t="shared" si="3"/>
        <v>0.73297730307076103</v>
      </c>
      <c r="L63" s="5" t="str">
        <f>IF(VLOOKUP(B63,Orders!$A:$D,4,FALSE())="Vrátená",INDEX({"Nevyhovujúca veľkosť";"Poškodený tovar pri doprave";"Produkt nezodpovedal popisu";"Zákazník zmenil názor";"Neskoré doručenie";"Chybný/vadný kus";"Duplicitná objednávka"},MOD(CODE(LEFT(A63,1))+LEN(A63),7)+1),"")</f>
        <v/>
      </c>
    </row>
    <row r="64" spans="1:12" x14ac:dyDescent="0.3">
      <c r="A64" s="2" t="s">
        <v>394</v>
      </c>
      <c r="B64" s="2" t="s">
        <v>69</v>
      </c>
      <c r="C64" s="2" t="s">
        <v>306</v>
      </c>
      <c r="D64" s="2">
        <v>1</v>
      </c>
      <c r="E64" s="4">
        <f>VLOOKUP(C64,Products!$A:$E,4,FALSE())</f>
        <v>34.99</v>
      </c>
      <c r="F64" s="8">
        <v>0</v>
      </c>
      <c r="G64" s="4">
        <f t="shared" si="0"/>
        <v>34.99</v>
      </c>
      <c r="H64" s="4">
        <f>VLOOKUP(C64,Products!$A:$E,5,FALSE())</f>
        <v>15</v>
      </c>
      <c r="I64" s="4">
        <f t="shared" si="1"/>
        <v>34.99</v>
      </c>
      <c r="J64" s="4">
        <f t="shared" si="2"/>
        <v>19.990000000000002</v>
      </c>
      <c r="K64" s="9">
        <f t="shared" si="3"/>
        <v>0.57130608745355815</v>
      </c>
      <c r="L64" s="2" t="str">
        <f>IF(VLOOKUP(B64,Orders!$A:$D,4,FALSE())="Vrátená",INDEX({"Nevyhovujúca veľkosť";"Poškodený tovar pri doprave";"Produkt nezodpovedal popisu";"Zákazník zmenil názor";"Neskoré doručenie";"Chybný/vadný kus";"Duplicitná objednávka"},MOD(CODE(LEFT(A64,1))+LEN(A64),7)+1),"")</f>
        <v/>
      </c>
    </row>
    <row r="65" spans="1:12" x14ac:dyDescent="0.3">
      <c r="A65" s="5" t="s">
        <v>395</v>
      </c>
      <c r="B65" s="5" t="s">
        <v>69</v>
      </c>
      <c r="C65" s="5" t="s">
        <v>310</v>
      </c>
      <c r="D65" s="5">
        <v>2</v>
      </c>
      <c r="E65" s="7">
        <f>VLOOKUP(C65,Products!$A:$E,4,FALSE())</f>
        <v>34.99</v>
      </c>
      <c r="F65" s="10">
        <v>0.3</v>
      </c>
      <c r="G65" s="7">
        <f t="shared" si="0"/>
        <v>24.492999999999999</v>
      </c>
      <c r="H65" s="7">
        <f>VLOOKUP(C65,Products!$A:$E,5,FALSE())</f>
        <v>14</v>
      </c>
      <c r="I65" s="7">
        <f t="shared" si="1"/>
        <v>48.985999999999997</v>
      </c>
      <c r="J65" s="7">
        <f t="shared" si="2"/>
        <v>20.985999999999997</v>
      </c>
      <c r="K65" s="11">
        <f t="shared" si="3"/>
        <v>0.4284081166047442</v>
      </c>
      <c r="L65" s="5" t="str">
        <f>IF(VLOOKUP(B65,Orders!$A:$D,4,FALSE())="Vrátená",INDEX({"Nevyhovujúca veľkosť";"Poškodený tovar pri doprave";"Produkt nezodpovedal popisu";"Zákazník zmenil názor";"Neskoré doručenie";"Chybný/vadný kus";"Duplicitná objednávka"},MOD(CODE(LEFT(A65,1))+LEN(A65),7)+1),"")</f>
        <v/>
      </c>
    </row>
    <row r="66" spans="1:12" x14ac:dyDescent="0.3">
      <c r="A66" s="2" t="s">
        <v>396</v>
      </c>
      <c r="B66" s="2" t="s">
        <v>69</v>
      </c>
      <c r="C66" s="2" t="s">
        <v>372</v>
      </c>
      <c r="D66" s="2">
        <v>1</v>
      </c>
      <c r="E66" s="4">
        <f>VLOOKUP(C66,Products!$A:$E,4,FALSE())</f>
        <v>39.99</v>
      </c>
      <c r="F66" s="8">
        <v>0.1</v>
      </c>
      <c r="G66" s="4">
        <f t="shared" ref="G66:G129" si="4">E66*(1-F66)</f>
        <v>35.991</v>
      </c>
      <c r="H66" s="4">
        <f>VLOOKUP(C66,Products!$A:$E,5,FALSE())</f>
        <v>17</v>
      </c>
      <c r="I66" s="4">
        <f t="shared" ref="I66:I129" si="5">D66*G66</f>
        <v>35.991</v>
      </c>
      <c r="J66" s="4">
        <f t="shared" ref="J66:J129" si="6">I66-(D66*H66)</f>
        <v>18.991</v>
      </c>
      <c r="K66" s="9">
        <f t="shared" ref="K66:K129" si="7">IFERROR(J66/I66,0)</f>
        <v>0.52765969270095303</v>
      </c>
      <c r="L66" s="2" t="str">
        <f>IF(VLOOKUP(B66,Orders!$A:$D,4,FALSE())="Vrátená",INDEX({"Nevyhovujúca veľkosť";"Poškodený tovar pri doprave";"Produkt nezodpovedal popisu";"Zákazník zmenil názor";"Neskoré doručenie";"Chybný/vadný kus";"Duplicitná objednávka"},MOD(CODE(LEFT(A66,1))+LEN(A66),7)+1),"")</f>
        <v/>
      </c>
    </row>
    <row r="67" spans="1:12" x14ac:dyDescent="0.3">
      <c r="A67" s="5" t="s">
        <v>397</v>
      </c>
      <c r="B67" s="5" t="s">
        <v>69</v>
      </c>
      <c r="C67" s="5" t="s">
        <v>398</v>
      </c>
      <c r="D67" s="5">
        <v>1</v>
      </c>
      <c r="E67" s="7">
        <f>VLOOKUP(C67,Products!$A:$E,4,FALSE())</f>
        <v>22.49</v>
      </c>
      <c r="F67" s="10">
        <v>0.05</v>
      </c>
      <c r="G67" s="7">
        <f t="shared" si="4"/>
        <v>21.365499999999997</v>
      </c>
      <c r="H67" s="7">
        <f>VLOOKUP(C67,Products!$A:$E,5,FALSE())</f>
        <v>8.5</v>
      </c>
      <c r="I67" s="7">
        <f t="shared" si="5"/>
        <v>21.365499999999997</v>
      </c>
      <c r="J67" s="7">
        <f t="shared" si="6"/>
        <v>12.865499999999997</v>
      </c>
      <c r="K67" s="11">
        <f t="shared" si="7"/>
        <v>0.6021623645596873</v>
      </c>
      <c r="L67" s="5" t="str">
        <f>IF(VLOOKUP(B67,Orders!$A:$D,4,FALSE())="Vrátená",INDEX({"Nevyhovujúca veľkosť";"Poškodený tovar pri doprave";"Produkt nezodpovedal popisu";"Zákazník zmenil názor";"Neskoré doručenie";"Chybný/vadný kus";"Duplicitná objednávka"},MOD(CODE(LEFT(A67,1))+LEN(A67),7)+1),"")</f>
        <v/>
      </c>
    </row>
    <row r="68" spans="1:12" x14ac:dyDescent="0.3">
      <c r="A68" s="2" t="s">
        <v>399</v>
      </c>
      <c r="B68" s="2" t="s">
        <v>71</v>
      </c>
      <c r="C68" s="2" t="s">
        <v>334</v>
      </c>
      <c r="D68" s="2">
        <v>4</v>
      </c>
      <c r="E68" s="4">
        <f>VLOOKUP(C68,Products!$A:$E,4,FALSE())</f>
        <v>21.49</v>
      </c>
      <c r="F68" s="8">
        <v>0</v>
      </c>
      <c r="G68" s="4">
        <f t="shared" si="4"/>
        <v>21.49</v>
      </c>
      <c r="H68" s="4">
        <f>VLOOKUP(C68,Products!$A:$E,5,FALSE())</f>
        <v>8</v>
      </c>
      <c r="I68" s="4">
        <f t="shared" si="5"/>
        <v>85.96</v>
      </c>
      <c r="J68" s="4">
        <f t="shared" si="6"/>
        <v>53.959999999999994</v>
      </c>
      <c r="K68" s="9">
        <f t="shared" si="7"/>
        <v>0.62773382968822711</v>
      </c>
      <c r="L68" s="2" t="str">
        <f>IF(VLOOKUP(B68,Orders!$A:$D,4,FALSE())="Vrátená",INDEX({"Nevyhovujúca veľkosť";"Poškodený tovar pri doprave";"Produkt nezodpovedal popisu";"Zákazník zmenil názor";"Neskoré doručenie";"Chybný/vadný kus";"Duplicitná objednávka"},MOD(CODE(LEFT(A68,1))+LEN(A68),7)+1),"")</f>
        <v/>
      </c>
    </row>
    <row r="69" spans="1:12" x14ac:dyDescent="0.3">
      <c r="A69" s="5" t="s">
        <v>400</v>
      </c>
      <c r="B69" s="5" t="s">
        <v>72</v>
      </c>
      <c r="C69" s="5" t="s">
        <v>306</v>
      </c>
      <c r="D69" s="5">
        <v>2</v>
      </c>
      <c r="E69" s="7">
        <f>VLOOKUP(C69,Products!$A:$E,4,FALSE())</f>
        <v>34.99</v>
      </c>
      <c r="F69" s="10">
        <v>0</v>
      </c>
      <c r="G69" s="7">
        <f t="shared" si="4"/>
        <v>34.99</v>
      </c>
      <c r="H69" s="7">
        <f>VLOOKUP(C69,Products!$A:$E,5,FALSE())</f>
        <v>15</v>
      </c>
      <c r="I69" s="7">
        <f t="shared" si="5"/>
        <v>69.98</v>
      </c>
      <c r="J69" s="7">
        <f t="shared" si="6"/>
        <v>39.980000000000004</v>
      </c>
      <c r="K69" s="11">
        <f t="shared" si="7"/>
        <v>0.57130608745355815</v>
      </c>
      <c r="L69" s="5" t="str">
        <f>IF(VLOOKUP(B69,Orders!$A:$D,4,FALSE())="Vrátená",INDEX({"Nevyhovujúca veľkosť";"Poškodený tovar pri doprave";"Produkt nezodpovedal popisu";"Zákazník zmenil názor";"Neskoré doručenie";"Chybný/vadný kus";"Duplicitná objednávka"},MOD(CODE(LEFT(A69,1))+LEN(A69),7)+1),"")</f>
        <v>Produkt nezodpovedal popisu</v>
      </c>
    </row>
    <row r="70" spans="1:12" x14ac:dyDescent="0.3">
      <c r="A70" s="2" t="s">
        <v>401</v>
      </c>
      <c r="B70" s="2" t="s">
        <v>75</v>
      </c>
      <c r="C70" s="2" t="s">
        <v>300</v>
      </c>
      <c r="D70" s="2">
        <v>3</v>
      </c>
      <c r="E70" s="4">
        <f>VLOOKUP(C70,Products!$A:$E,4,FALSE())</f>
        <v>39.99</v>
      </c>
      <c r="F70" s="8">
        <v>0</v>
      </c>
      <c r="G70" s="4">
        <f t="shared" si="4"/>
        <v>39.99</v>
      </c>
      <c r="H70" s="4">
        <f>VLOOKUP(C70,Products!$A:$E,5,FALSE())</f>
        <v>17</v>
      </c>
      <c r="I70" s="4">
        <f t="shared" si="5"/>
        <v>119.97</v>
      </c>
      <c r="J70" s="4">
        <f t="shared" si="6"/>
        <v>68.97</v>
      </c>
      <c r="K70" s="9">
        <f t="shared" si="7"/>
        <v>0.57489372343085776</v>
      </c>
      <c r="L70" s="2" t="str">
        <f>IF(VLOOKUP(B70,Orders!$A:$D,4,FALSE())="Vrátená",INDEX({"Nevyhovujúca veľkosť";"Poškodený tovar pri doprave";"Produkt nezodpovedal popisu";"Zákazník zmenil názor";"Neskoré doručenie";"Chybný/vadný kus";"Duplicitná objednávka"},MOD(CODE(LEFT(A70,1))+LEN(A70),7)+1),"")</f>
        <v/>
      </c>
    </row>
    <row r="71" spans="1:12" x14ac:dyDescent="0.3">
      <c r="A71" s="5" t="s">
        <v>402</v>
      </c>
      <c r="B71" s="5" t="s">
        <v>77</v>
      </c>
      <c r="C71" s="5" t="s">
        <v>340</v>
      </c>
      <c r="D71" s="5">
        <v>1</v>
      </c>
      <c r="E71" s="7">
        <f>VLOOKUP(C71,Products!$A:$E,4,FALSE())</f>
        <v>44.99</v>
      </c>
      <c r="F71" s="10">
        <v>0</v>
      </c>
      <c r="G71" s="7">
        <f t="shared" si="4"/>
        <v>44.99</v>
      </c>
      <c r="H71" s="7">
        <f>VLOOKUP(C71,Products!$A:$E,5,FALSE())</f>
        <v>18</v>
      </c>
      <c r="I71" s="7">
        <f t="shared" si="5"/>
        <v>44.99</v>
      </c>
      <c r="J71" s="7">
        <f t="shared" si="6"/>
        <v>26.990000000000002</v>
      </c>
      <c r="K71" s="11">
        <f t="shared" si="7"/>
        <v>0.59991109135363418</v>
      </c>
      <c r="L71" s="5" t="str">
        <f>IF(VLOOKUP(B71,Orders!$A:$D,4,FALSE())="Vrátená",INDEX({"Nevyhovujúca veľkosť";"Poškodený tovar pri doprave";"Produkt nezodpovedal popisu";"Zákazník zmenil názor";"Neskoré doručenie";"Chybný/vadný kus";"Duplicitná objednávka"},MOD(CODE(LEFT(A71,1))+LEN(A71),7)+1),"")</f>
        <v/>
      </c>
    </row>
    <row r="72" spans="1:12" x14ac:dyDescent="0.3">
      <c r="A72" s="2" t="s">
        <v>403</v>
      </c>
      <c r="B72" s="2" t="s">
        <v>77</v>
      </c>
      <c r="C72" s="2" t="s">
        <v>342</v>
      </c>
      <c r="D72" s="2">
        <v>1</v>
      </c>
      <c r="E72" s="4">
        <f>VLOOKUP(C72,Products!$A:$E,4,FALSE())</f>
        <v>29.99</v>
      </c>
      <c r="F72" s="8">
        <v>0.2</v>
      </c>
      <c r="G72" s="4">
        <f t="shared" si="4"/>
        <v>23.992000000000001</v>
      </c>
      <c r="H72" s="4">
        <f>VLOOKUP(C72,Products!$A:$E,5,FALSE())</f>
        <v>12.5</v>
      </c>
      <c r="I72" s="4">
        <f t="shared" si="5"/>
        <v>23.992000000000001</v>
      </c>
      <c r="J72" s="4">
        <f t="shared" si="6"/>
        <v>11.492000000000001</v>
      </c>
      <c r="K72" s="9">
        <f t="shared" si="7"/>
        <v>0.47899299766588865</v>
      </c>
      <c r="L72" s="2" t="str">
        <f>IF(VLOOKUP(B72,Orders!$A:$D,4,FALSE())="Vrátená",INDEX({"Nevyhovujúca veľkosť";"Poškodený tovar pri doprave";"Produkt nezodpovedal popisu";"Zákazník zmenil názor";"Neskoré doručenie";"Chybný/vadný kus";"Duplicitná objednávka"},MOD(CODE(LEFT(A72,1))+LEN(A72),7)+1),"")</f>
        <v/>
      </c>
    </row>
    <row r="73" spans="1:12" x14ac:dyDescent="0.3">
      <c r="A73" s="5" t="s">
        <v>404</v>
      </c>
      <c r="B73" s="5" t="s">
        <v>79</v>
      </c>
      <c r="C73" s="5" t="s">
        <v>328</v>
      </c>
      <c r="D73" s="5">
        <v>4</v>
      </c>
      <c r="E73" s="7">
        <f>VLOOKUP(C73,Products!$A:$E,4,FALSE())</f>
        <v>7.49</v>
      </c>
      <c r="F73" s="10">
        <v>0</v>
      </c>
      <c r="G73" s="7">
        <f t="shared" si="4"/>
        <v>7.49</v>
      </c>
      <c r="H73" s="7">
        <f>VLOOKUP(C73,Products!$A:$E,5,FALSE())</f>
        <v>2</v>
      </c>
      <c r="I73" s="7">
        <f t="shared" si="5"/>
        <v>29.96</v>
      </c>
      <c r="J73" s="7">
        <f t="shared" si="6"/>
        <v>21.96</v>
      </c>
      <c r="K73" s="11">
        <f t="shared" si="7"/>
        <v>0.73297730307076103</v>
      </c>
      <c r="L73" s="5" t="str">
        <f>IF(VLOOKUP(B73,Orders!$A:$D,4,FALSE())="Vrátená",INDEX({"Nevyhovujúca veľkosť";"Poškodený tovar pri doprave";"Produkt nezodpovedal popisu";"Zákazník zmenil názor";"Neskoré doručenie";"Chybný/vadný kus";"Duplicitná objednávka"},MOD(CODE(LEFT(A73,1))+LEN(A73),7)+1),"")</f>
        <v/>
      </c>
    </row>
    <row r="74" spans="1:12" x14ac:dyDescent="0.3">
      <c r="A74" s="2" t="s">
        <v>405</v>
      </c>
      <c r="B74" s="2" t="s">
        <v>79</v>
      </c>
      <c r="C74" s="2" t="s">
        <v>322</v>
      </c>
      <c r="D74" s="2">
        <v>2</v>
      </c>
      <c r="E74" s="4">
        <f>VLOOKUP(C74,Products!$A:$E,4,FALSE())</f>
        <v>104.99</v>
      </c>
      <c r="F74" s="8">
        <v>0</v>
      </c>
      <c r="G74" s="4">
        <f t="shared" si="4"/>
        <v>104.99</v>
      </c>
      <c r="H74" s="4">
        <f>VLOOKUP(C74,Products!$A:$E,5,FALSE())</f>
        <v>55</v>
      </c>
      <c r="I74" s="4">
        <f t="shared" si="5"/>
        <v>209.98</v>
      </c>
      <c r="J74" s="4">
        <f t="shared" si="6"/>
        <v>99.97999999999999</v>
      </c>
      <c r="K74" s="9">
        <f t="shared" si="7"/>
        <v>0.47614058481760163</v>
      </c>
      <c r="L74" s="2" t="str">
        <f>IF(VLOOKUP(B74,Orders!$A:$D,4,FALSE())="Vrátená",INDEX({"Nevyhovujúca veľkosť";"Poškodený tovar pri doprave";"Produkt nezodpovedal popisu";"Zákazník zmenil názor";"Neskoré doručenie";"Chybný/vadný kus";"Duplicitná objednávka"},MOD(CODE(LEFT(A74,1))+LEN(A74),7)+1),"")</f>
        <v/>
      </c>
    </row>
    <row r="75" spans="1:12" x14ac:dyDescent="0.3">
      <c r="A75" s="5" t="s">
        <v>406</v>
      </c>
      <c r="B75" s="5" t="s">
        <v>79</v>
      </c>
      <c r="C75" s="5" t="s">
        <v>342</v>
      </c>
      <c r="D75" s="5">
        <v>1</v>
      </c>
      <c r="E75" s="7">
        <f>VLOOKUP(C75,Products!$A:$E,4,FALSE())</f>
        <v>29.99</v>
      </c>
      <c r="F75" s="10">
        <v>0.15</v>
      </c>
      <c r="G75" s="7">
        <f t="shared" si="4"/>
        <v>25.491499999999998</v>
      </c>
      <c r="H75" s="7">
        <f>VLOOKUP(C75,Products!$A:$E,5,FALSE())</f>
        <v>12.5</v>
      </c>
      <c r="I75" s="7">
        <f t="shared" si="5"/>
        <v>25.491499999999998</v>
      </c>
      <c r="J75" s="7">
        <f t="shared" si="6"/>
        <v>12.991499999999998</v>
      </c>
      <c r="K75" s="11">
        <f t="shared" si="7"/>
        <v>0.50964046839142452</v>
      </c>
      <c r="L75" s="5" t="str">
        <f>IF(VLOOKUP(B75,Orders!$A:$D,4,FALSE())="Vrátená",INDEX({"Nevyhovujúca veľkosť";"Poškodený tovar pri doprave";"Produkt nezodpovedal popisu";"Zákazník zmenil názor";"Neskoré doručenie";"Chybný/vadný kus";"Duplicitná objednávka"},MOD(CODE(LEFT(A75,1))+LEN(A75),7)+1),"")</f>
        <v/>
      </c>
    </row>
    <row r="76" spans="1:12" x14ac:dyDescent="0.3">
      <c r="A76" s="2" t="s">
        <v>407</v>
      </c>
      <c r="B76" s="2" t="s">
        <v>81</v>
      </c>
      <c r="C76" s="2" t="s">
        <v>372</v>
      </c>
      <c r="D76" s="2">
        <v>1</v>
      </c>
      <c r="E76" s="4">
        <f>VLOOKUP(C76,Products!$A:$E,4,FALSE())</f>
        <v>39.99</v>
      </c>
      <c r="F76" s="8">
        <v>0</v>
      </c>
      <c r="G76" s="4">
        <f t="shared" si="4"/>
        <v>39.99</v>
      </c>
      <c r="H76" s="4">
        <f>VLOOKUP(C76,Products!$A:$E,5,FALSE())</f>
        <v>17</v>
      </c>
      <c r="I76" s="4">
        <f t="shared" si="5"/>
        <v>39.99</v>
      </c>
      <c r="J76" s="4">
        <f t="shared" si="6"/>
        <v>22.990000000000002</v>
      </c>
      <c r="K76" s="9">
        <f t="shared" si="7"/>
        <v>0.57489372343085776</v>
      </c>
      <c r="L76" s="2" t="str">
        <f>IF(VLOOKUP(B76,Orders!$A:$D,4,FALSE())="Vrátená",INDEX({"Nevyhovujúca veľkosť";"Poškodený tovar pri doprave";"Produkt nezodpovedal popisu";"Zákazník zmenil názor";"Neskoré doručenie";"Chybný/vadný kus";"Duplicitná objednávka"},MOD(CODE(LEFT(A76,1))+LEN(A76),7)+1),"")</f>
        <v/>
      </c>
    </row>
    <row r="77" spans="1:12" x14ac:dyDescent="0.3">
      <c r="A77" s="5" t="s">
        <v>408</v>
      </c>
      <c r="B77" s="5" t="s">
        <v>81</v>
      </c>
      <c r="C77" s="5" t="s">
        <v>349</v>
      </c>
      <c r="D77" s="5">
        <v>4</v>
      </c>
      <c r="E77" s="7">
        <f>VLOOKUP(C77,Products!$A:$E,4,FALSE())</f>
        <v>24.99</v>
      </c>
      <c r="F77" s="10">
        <v>0.15</v>
      </c>
      <c r="G77" s="7">
        <f t="shared" si="4"/>
        <v>21.241499999999998</v>
      </c>
      <c r="H77" s="7">
        <f>VLOOKUP(C77,Products!$A:$E,5,FALSE())</f>
        <v>10.5</v>
      </c>
      <c r="I77" s="7">
        <f t="shared" si="5"/>
        <v>84.965999999999994</v>
      </c>
      <c r="J77" s="7">
        <f t="shared" si="6"/>
        <v>42.965999999999994</v>
      </c>
      <c r="K77" s="11">
        <f t="shared" si="7"/>
        <v>0.50568462679189319</v>
      </c>
      <c r="L77" s="5" t="str">
        <f>IF(VLOOKUP(B77,Orders!$A:$D,4,FALSE())="Vrátená",INDEX({"Nevyhovujúca veľkosť";"Poškodený tovar pri doprave";"Produkt nezodpovedal popisu";"Zákazník zmenil názor";"Neskoré doručenie";"Chybný/vadný kus";"Duplicitná objednávka"},MOD(CODE(LEFT(A77,1))+LEN(A77),7)+1),"")</f>
        <v/>
      </c>
    </row>
    <row r="78" spans="1:12" x14ac:dyDescent="0.3">
      <c r="A78" s="2" t="s">
        <v>409</v>
      </c>
      <c r="B78" s="2" t="s">
        <v>81</v>
      </c>
      <c r="C78" s="2" t="s">
        <v>318</v>
      </c>
      <c r="D78" s="2">
        <v>3</v>
      </c>
      <c r="E78" s="4">
        <f>VLOOKUP(C78,Products!$A:$E,4,FALSE())</f>
        <v>29.99</v>
      </c>
      <c r="F78" s="8">
        <v>0.3</v>
      </c>
      <c r="G78" s="4">
        <f t="shared" si="4"/>
        <v>20.992999999999999</v>
      </c>
      <c r="H78" s="4">
        <f>VLOOKUP(C78,Products!$A:$E,5,FALSE())</f>
        <v>13</v>
      </c>
      <c r="I78" s="4">
        <f t="shared" si="5"/>
        <v>62.978999999999999</v>
      </c>
      <c r="J78" s="4">
        <f t="shared" si="6"/>
        <v>23.978999999999999</v>
      </c>
      <c r="K78" s="9">
        <f t="shared" si="7"/>
        <v>0.3807459629400276</v>
      </c>
      <c r="L78" s="2" t="str">
        <f>IF(VLOOKUP(B78,Orders!$A:$D,4,FALSE())="Vrátená",INDEX({"Nevyhovujúca veľkosť";"Poškodený tovar pri doprave";"Produkt nezodpovedal popisu";"Zákazník zmenil názor";"Neskoré doručenie";"Chybný/vadný kus";"Duplicitná objednávka"},MOD(CODE(LEFT(A78,1))+LEN(A78),7)+1),"")</f>
        <v/>
      </c>
    </row>
    <row r="79" spans="1:12" x14ac:dyDescent="0.3">
      <c r="A79" s="5" t="s">
        <v>410</v>
      </c>
      <c r="B79" s="5" t="s">
        <v>82</v>
      </c>
      <c r="C79" s="5" t="s">
        <v>359</v>
      </c>
      <c r="D79" s="5">
        <v>4</v>
      </c>
      <c r="E79" s="7">
        <f>VLOOKUP(C79,Products!$A:$E,4,FALSE())</f>
        <v>16.989999999999998</v>
      </c>
      <c r="F79" s="10">
        <v>0.1</v>
      </c>
      <c r="G79" s="7">
        <f t="shared" si="4"/>
        <v>15.290999999999999</v>
      </c>
      <c r="H79" s="7">
        <f>VLOOKUP(C79,Products!$A:$E,5,FALSE())</f>
        <v>6</v>
      </c>
      <c r="I79" s="7">
        <f t="shared" si="5"/>
        <v>61.163999999999994</v>
      </c>
      <c r="J79" s="7">
        <f t="shared" si="6"/>
        <v>37.163999999999994</v>
      </c>
      <c r="K79" s="11">
        <f t="shared" si="7"/>
        <v>0.60761232097312146</v>
      </c>
      <c r="L79" s="5" t="str">
        <f>IF(VLOOKUP(B79,Orders!$A:$D,4,FALSE())="Vrátená",INDEX({"Nevyhovujúca veľkosť";"Poškodený tovar pri doprave";"Produkt nezodpovedal popisu";"Zákazník zmenil názor";"Neskoré doručenie";"Chybný/vadný kus";"Duplicitná objednávka"},MOD(CODE(LEFT(A79,1))+LEN(A79),7)+1),"")</f>
        <v/>
      </c>
    </row>
    <row r="80" spans="1:12" x14ac:dyDescent="0.3">
      <c r="A80" s="2" t="s">
        <v>411</v>
      </c>
      <c r="B80" s="2" t="s">
        <v>82</v>
      </c>
      <c r="C80" s="2" t="s">
        <v>361</v>
      </c>
      <c r="D80" s="2">
        <v>2</v>
      </c>
      <c r="E80" s="4">
        <f>VLOOKUP(C80,Products!$A:$E,4,FALSE())</f>
        <v>27.49</v>
      </c>
      <c r="F80" s="8">
        <v>0.1</v>
      </c>
      <c r="G80" s="4">
        <f t="shared" si="4"/>
        <v>24.741</v>
      </c>
      <c r="H80" s="4">
        <f>VLOOKUP(C80,Products!$A:$E,5,FALSE())</f>
        <v>11</v>
      </c>
      <c r="I80" s="4">
        <f t="shared" si="5"/>
        <v>49.481999999999999</v>
      </c>
      <c r="J80" s="4">
        <f t="shared" si="6"/>
        <v>27.481999999999999</v>
      </c>
      <c r="K80" s="9">
        <f t="shared" si="7"/>
        <v>0.55539388060304762</v>
      </c>
      <c r="L80" s="2" t="str">
        <f>IF(VLOOKUP(B80,Orders!$A:$D,4,FALSE())="Vrátená",INDEX({"Nevyhovujúca veľkosť";"Poškodený tovar pri doprave";"Produkt nezodpovedal popisu";"Zákazník zmenil názor";"Neskoré doručenie";"Chybný/vadný kus";"Duplicitná objednávka"},MOD(CODE(LEFT(A80,1))+LEN(A80),7)+1),"")</f>
        <v/>
      </c>
    </row>
    <row r="81" spans="1:12" x14ac:dyDescent="0.3">
      <c r="A81" s="5" t="s">
        <v>412</v>
      </c>
      <c r="B81" s="5" t="s">
        <v>83</v>
      </c>
      <c r="C81" s="5" t="s">
        <v>306</v>
      </c>
      <c r="D81" s="5">
        <v>1</v>
      </c>
      <c r="E81" s="7">
        <f>VLOOKUP(C81,Products!$A:$E,4,FALSE())</f>
        <v>34.99</v>
      </c>
      <c r="F81" s="10">
        <v>0.2</v>
      </c>
      <c r="G81" s="7">
        <f t="shared" si="4"/>
        <v>27.992000000000004</v>
      </c>
      <c r="H81" s="7">
        <f>VLOOKUP(C81,Products!$A:$E,5,FALSE())</f>
        <v>15</v>
      </c>
      <c r="I81" s="7">
        <f t="shared" si="5"/>
        <v>27.992000000000004</v>
      </c>
      <c r="J81" s="7">
        <f t="shared" si="6"/>
        <v>12.992000000000004</v>
      </c>
      <c r="K81" s="11">
        <f t="shared" si="7"/>
        <v>0.46413260931694778</v>
      </c>
      <c r="L81" s="5" t="str">
        <f>IF(VLOOKUP(B81,Orders!$A:$D,4,FALSE())="Vrátená",INDEX({"Nevyhovujúca veľkosť";"Poškodený tovar pri doprave";"Produkt nezodpovedal popisu";"Zákazník zmenil názor";"Neskoré doručenie";"Chybný/vadný kus";"Duplicitná objednávka"},MOD(CODE(LEFT(A81,1))+LEN(A81),7)+1),"")</f>
        <v/>
      </c>
    </row>
    <row r="82" spans="1:12" x14ac:dyDescent="0.3">
      <c r="A82" s="2" t="s">
        <v>413</v>
      </c>
      <c r="B82" s="2" t="s">
        <v>85</v>
      </c>
      <c r="C82" s="2" t="s">
        <v>320</v>
      </c>
      <c r="D82" s="2">
        <v>1</v>
      </c>
      <c r="E82" s="4">
        <f>VLOOKUP(C82,Products!$A:$E,4,FALSE())</f>
        <v>29.99</v>
      </c>
      <c r="F82" s="8">
        <v>0</v>
      </c>
      <c r="G82" s="4">
        <f t="shared" si="4"/>
        <v>29.99</v>
      </c>
      <c r="H82" s="4">
        <f>VLOOKUP(C82,Products!$A:$E,5,FALSE())</f>
        <v>12</v>
      </c>
      <c r="I82" s="4">
        <f t="shared" si="5"/>
        <v>29.99</v>
      </c>
      <c r="J82" s="4">
        <f t="shared" si="6"/>
        <v>17.989999999999998</v>
      </c>
      <c r="K82" s="9">
        <f t="shared" si="7"/>
        <v>0.5998666222074025</v>
      </c>
      <c r="L82" s="2" t="str">
        <f>IF(VLOOKUP(B82,Orders!$A:$D,4,FALSE())="Vrátená",INDEX({"Nevyhovujúca veľkosť";"Poškodený tovar pri doprave";"Produkt nezodpovedal popisu";"Zákazník zmenil názor";"Neskoré doručenie";"Chybný/vadný kus";"Duplicitná objednávka"},MOD(CODE(LEFT(A82,1))+LEN(A82),7)+1),"")</f>
        <v/>
      </c>
    </row>
    <row r="83" spans="1:12" x14ac:dyDescent="0.3">
      <c r="A83" s="5" t="s">
        <v>414</v>
      </c>
      <c r="B83" s="5" t="s">
        <v>85</v>
      </c>
      <c r="C83" s="5" t="s">
        <v>316</v>
      </c>
      <c r="D83" s="5">
        <v>2</v>
      </c>
      <c r="E83" s="7">
        <f>VLOOKUP(C83,Products!$A:$E,4,FALSE())</f>
        <v>39.99</v>
      </c>
      <c r="F83" s="10">
        <v>0.05</v>
      </c>
      <c r="G83" s="7">
        <f t="shared" si="4"/>
        <v>37.990499999999997</v>
      </c>
      <c r="H83" s="7">
        <f>VLOOKUP(C83,Products!$A:$E,5,FALSE())</f>
        <v>16</v>
      </c>
      <c r="I83" s="7">
        <f t="shared" si="5"/>
        <v>75.980999999999995</v>
      </c>
      <c r="J83" s="7">
        <f t="shared" si="6"/>
        <v>43.980999999999995</v>
      </c>
      <c r="K83" s="11">
        <f t="shared" si="7"/>
        <v>0.57884207894078776</v>
      </c>
      <c r="L83" s="5" t="str">
        <f>IF(VLOOKUP(B83,Orders!$A:$D,4,FALSE())="Vrátená",INDEX({"Nevyhovujúca veľkosť";"Poškodený tovar pri doprave";"Produkt nezodpovedal popisu";"Zákazník zmenil názor";"Neskoré doručenie";"Chybný/vadný kus";"Duplicitná objednávka"},MOD(CODE(LEFT(A83,1))+LEN(A83),7)+1),"")</f>
        <v/>
      </c>
    </row>
    <row r="84" spans="1:12" x14ac:dyDescent="0.3">
      <c r="A84" s="2" t="s">
        <v>415</v>
      </c>
      <c r="B84" s="2" t="s">
        <v>86</v>
      </c>
      <c r="C84" s="2" t="s">
        <v>367</v>
      </c>
      <c r="D84" s="2">
        <v>1</v>
      </c>
      <c r="E84" s="4">
        <f>VLOOKUP(C84,Products!$A:$E,4,FALSE())</f>
        <v>24.99</v>
      </c>
      <c r="F84" s="8">
        <v>0</v>
      </c>
      <c r="G84" s="4">
        <f t="shared" si="4"/>
        <v>24.99</v>
      </c>
      <c r="H84" s="4">
        <f>VLOOKUP(C84,Products!$A:$E,5,FALSE())</f>
        <v>9.5</v>
      </c>
      <c r="I84" s="4">
        <f t="shared" si="5"/>
        <v>24.99</v>
      </c>
      <c r="J84" s="4">
        <f t="shared" si="6"/>
        <v>15.489999999999998</v>
      </c>
      <c r="K84" s="9">
        <f t="shared" si="7"/>
        <v>0.61984793917567027</v>
      </c>
      <c r="L84" s="2" t="str">
        <f>IF(VLOOKUP(B84,Orders!$A:$D,4,FALSE())="Vrátená",INDEX({"Nevyhovujúca veľkosť";"Poškodený tovar pri doprave";"Produkt nezodpovedal popisu";"Zákazník zmenil názor";"Neskoré doručenie";"Chybný/vadný kus";"Duplicitná objednávka"},MOD(CODE(LEFT(A84,1))+LEN(A84),7)+1),"")</f>
        <v/>
      </c>
    </row>
    <row r="85" spans="1:12" x14ac:dyDescent="0.3">
      <c r="A85" s="5" t="s">
        <v>416</v>
      </c>
      <c r="B85" s="5" t="s">
        <v>87</v>
      </c>
      <c r="C85" s="5" t="s">
        <v>357</v>
      </c>
      <c r="D85" s="5">
        <v>2</v>
      </c>
      <c r="E85" s="7">
        <f>VLOOKUP(C85,Products!$A:$E,4,FALSE())</f>
        <v>13.99</v>
      </c>
      <c r="F85" s="10">
        <v>0</v>
      </c>
      <c r="G85" s="7">
        <f t="shared" si="4"/>
        <v>13.99</v>
      </c>
      <c r="H85" s="7">
        <f>VLOOKUP(C85,Products!$A:$E,5,FALSE())</f>
        <v>5.5</v>
      </c>
      <c r="I85" s="7">
        <f t="shared" si="5"/>
        <v>27.98</v>
      </c>
      <c r="J85" s="7">
        <f t="shared" si="6"/>
        <v>16.98</v>
      </c>
      <c r="K85" s="11">
        <f t="shared" si="7"/>
        <v>0.60686204431736956</v>
      </c>
      <c r="L85" s="5" t="str">
        <f>IF(VLOOKUP(B85,Orders!$A:$D,4,FALSE())="Vrátená",INDEX({"Nevyhovujúca veľkosť";"Poškodený tovar pri doprave";"Produkt nezodpovedal popisu";"Zákazník zmenil názor";"Neskoré doručenie";"Chybný/vadný kus";"Duplicitná objednávka"},MOD(CODE(LEFT(A85,1))+LEN(A85),7)+1),"")</f>
        <v/>
      </c>
    </row>
    <row r="86" spans="1:12" x14ac:dyDescent="0.3">
      <c r="A86" s="2" t="s">
        <v>417</v>
      </c>
      <c r="B86" s="2" t="s">
        <v>87</v>
      </c>
      <c r="C86" s="2" t="s">
        <v>398</v>
      </c>
      <c r="D86" s="2">
        <v>1</v>
      </c>
      <c r="E86" s="4">
        <f>VLOOKUP(C86,Products!$A:$E,4,FALSE())</f>
        <v>22.49</v>
      </c>
      <c r="F86" s="8">
        <v>0</v>
      </c>
      <c r="G86" s="4">
        <f t="shared" si="4"/>
        <v>22.49</v>
      </c>
      <c r="H86" s="4">
        <f>VLOOKUP(C86,Products!$A:$E,5,FALSE())</f>
        <v>8.5</v>
      </c>
      <c r="I86" s="4">
        <f t="shared" si="5"/>
        <v>22.49</v>
      </c>
      <c r="J86" s="4">
        <f t="shared" si="6"/>
        <v>13.989999999999998</v>
      </c>
      <c r="K86" s="9">
        <f t="shared" si="7"/>
        <v>0.62205424633170292</v>
      </c>
      <c r="L86" s="2" t="str">
        <f>IF(VLOOKUP(B86,Orders!$A:$D,4,FALSE())="Vrátená",INDEX({"Nevyhovujúca veľkosť";"Poškodený tovar pri doprave";"Produkt nezodpovedal popisu";"Zákazník zmenil názor";"Neskoré doručenie";"Chybný/vadný kus";"Duplicitná objednávka"},MOD(CODE(LEFT(A86,1))+LEN(A86),7)+1),"")</f>
        <v/>
      </c>
    </row>
    <row r="87" spans="1:12" x14ac:dyDescent="0.3">
      <c r="A87" s="5" t="s">
        <v>418</v>
      </c>
      <c r="B87" s="5" t="s">
        <v>89</v>
      </c>
      <c r="C87" s="5" t="s">
        <v>382</v>
      </c>
      <c r="D87" s="5">
        <v>1</v>
      </c>
      <c r="E87" s="7">
        <f>VLOOKUP(C87,Products!$A:$E,4,FALSE())</f>
        <v>6.99</v>
      </c>
      <c r="F87" s="10">
        <v>0</v>
      </c>
      <c r="G87" s="7">
        <f t="shared" si="4"/>
        <v>6.99</v>
      </c>
      <c r="H87" s="7">
        <f>VLOOKUP(C87,Products!$A:$E,5,FALSE())</f>
        <v>2</v>
      </c>
      <c r="I87" s="7">
        <f t="shared" si="5"/>
        <v>6.99</v>
      </c>
      <c r="J87" s="7">
        <f t="shared" si="6"/>
        <v>4.99</v>
      </c>
      <c r="K87" s="11">
        <f t="shared" si="7"/>
        <v>0.71387696709585124</v>
      </c>
      <c r="L87" s="5" t="str">
        <f>IF(VLOOKUP(B87,Orders!$A:$D,4,FALSE())="Vrátená",INDEX({"Nevyhovujúca veľkosť";"Poškodený tovar pri doprave";"Produkt nezodpovedal popisu";"Zákazník zmenil názor";"Neskoré doručenie";"Chybný/vadný kus";"Duplicitná objednávka"},MOD(CODE(LEFT(A87,1))+LEN(A87),7)+1),"")</f>
        <v/>
      </c>
    </row>
    <row r="88" spans="1:12" x14ac:dyDescent="0.3">
      <c r="A88" s="2" t="s">
        <v>419</v>
      </c>
      <c r="B88" s="2" t="s">
        <v>91</v>
      </c>
      <c r="C88" s="2" t="s">
        <v>330</v>
      </c>
      <c r="D88" s="2">
        <v>2</v>
      </c>
      <c r="E88" s="4">
        <f>VLOOKUP(C88,Products!$A:$E,4,FALSE())</f>
        <v>14.99</v>
      </c>
      <c r="F88" s="8">
        <v>0.05</v>
      </c>
      <c r="G88" s="4">
        <f t="shared" si="4"/>
        <v>14.240499999999999</v>
      </c>
      <c r="H88" s="4">
        <f>VLOOKUP(C88,Products!$A:$E,5,FALSE())</f>
        <v>5.5</v>
      </c>
      <c r="I88" s="4">
        <f t="shared" si="5"/>
        <v>28.480999999999998</v>
      </c>
      <c r="J88" s="4">
        <f t="shared" si="6"/>
        <v>17.480999999999998</v>
      </c>
      <c r="K88" s="9">
        <f t="shared" si="7"/>
        <v>0.6137776061233805</v>
      </c>
      <c r="L88" s="2" t="str">
        <f>IF(VLOOKUP(B88,Orders!$A:$D,4,FALSE())="Vrátená",INDEX({"Nevyhovujúca veľkosť";"Poškodený tovar pri doprave";"Produkt nezodpovedal popisu";"Zákazník zmenil názor";"Neskoré doručenie";"Chybný/vadný kus";"Duplicitná objednávka"},MOD(CODE(LEFT(A88,1))+LEN(A88),7)+1),"")</f>
        <v/>
      </c>
    </row>
    <row r="89" spans="1:12" x14ac:dyDescent="0.3">
      <c r="A89" s="5" t="s">
        <v>420</v>
      </c>
      <c r="B89" s="5" t="s">
        <v>93</v>
      </c>
      <c r="C89" s="5" t="s">
        <v>308</v>
      </c>
      <c r="D89" s="5">
        <v>3</v>
      </c>
      <c r="E89" s="7">
        <f>VLOOKUP(C89,Products!$A:$E,4,FALSE())</f>
        <v>22.49</v>
      </c>
      <c r="F89" s="10">
        <v>0</v>
      </c>
      <c r="G89" s="7">
        <f t="shared" si="4"/>
        <v>22.49</v>
      </c>
      <c r="H89" s="7">
        <f>VLOOKUP(C89,Products!$A:$E,5,FALSE())</f>
        <v>9</v>
      </c>
      <c r="I89" s="7">
        <f t="shared" si="5"/>
        <v>67.47</v>
      </c>
      <c r="J89" s="7">
        <f t="shared" si="6"/>
        <v>40.47</v>
      </c>
      <c r="K89" s="11">
        <f t="shared" si="7"/>
        <v>0.59982214317474436</v>
      </c>
      <c r="L89" s="5" t="str">
        <f>IF(VLOOKUP(B89,Orders!$A:$D,4,FALSE())="Vrátená",INDEX({"Nevyhovujúca veľkosť";"Poškodený tovar pri doprave";"Produkt nezodpovedal popisu";"Zákazník zmenil názor";"Neskoré doručenie";"Chybný/vadný kus";"Duplicitná objednávka"},MOD(CODE(LEFT(A89,1))+LEN(A89),7)+1),"")</f>
        <v/>
      </c>
    </row>
    <row r="90" spans="1:12" x14ac:dyDescent="0.3">
      <c r="A90" s="2" t="s">
        <v>421</v>
      </c>
      <c r="B90" s="2" t="s">
        <v>93</v>
      </c>
      <c r="C90" s="2" t="s">
        <v>422</v>
      </c>
      <c r="D90" s="2">
        <v>5</v>
      </c>
      <c r="E90" s="4">
        <f>VLOOKUP(C90,Products!$A:$E,4,FALSE())</f>
        <v>49.99</v>
      </c>
      <c r="F90" s="8">
        <v>0</v>
      </c>
      <c r="G90" s="4">
        <f t="shared" si="4"/>
        <v>49.99</v>
      </c>
      <c r="H90" s="4">
        <f>VLOOKUP(C90,Products!$A:$E,5,FALSE())</f>
        <v>20</v>
      </c>
      <c r="I90" s="4">
        <f t="shared" si="5"/>
        <v>249.95000000000002</v>
      </c>
      <c r="J90" s="4">
        <f t="shared" si="6"/>
        <v>149.95000000000002</v>
      </c>
      <c r="K90" s="9">
        <f t="shared" si="7"/>
        <v>0.59991998399679936</v>
      </c>
      <c r="L90" s="2" t="str">
        <f>IF(VLOOKUP(B90,Orders!$A:$D,4,FALSE())="Vrátená",INDEX({"Nevyhovujúca veľkosť";"Poškodený tovar pri doprave";"Produkt nezodpovedal popisu";"Zákazník zmenil názor";"Neskoré doručenie";"Chybný/vadný kus";"Duplicitná objednávka"},MOD(CODE(LEFT(A90,1))+LEN(A90),7)+1),"")</f>
        <v/>
      </c>
    </row>
    <row r="91" spans="1:12" x14ac:dyDescent="0.3">
      <c r="A91" s="5" t="s">
        <v>423</v>
      </c>
      <c r="B91" s="5" t="s">
        <v>93</v>
      </c>
      <c r="C91" s="5" t="s">
        <v>300</v>
      </c>
      <c r="D91" s="5">
        <v>1</v>
      </c>
      <c r="E91" s="7">
        <f>VLOOKUP(C91,Products!$A:$E,4,FALSE())</f>
        <v>39.99</v>
      </c>
      <c r="F91" s="10">
        <v>0</v>
      </c>
      <c r="G91" s="7">
        <f t="shared" si="4"/>
        <v>39.99</v>
      </c>
      <c r="H91" s="7">
        <f>VLOOKUP(C91,Products!$A:$E,5,FALSE())</f>
        <v>17</v>
      </c>
      <c r="I91" s="7">
        <f t="shared" si="5"/>
        <v>39.99</v>
      </c>
      <c r="J91" s="7">
        <f t="shared" si="6"/>
        <v>22.990000000000002</v>
      </c>
      <c r="K91" s="11">
        <f t="shared" si="7"/>
        <v>0.57489372343085776</v>
      </c>
      <c r="L91" s="5" t="str">
        <f>IF(VLOOKUP(B91,Orders!$A:$D,4,FALSE())="Vrátená",INDEX({"Nevyhovujúca veľkosť";"Poškodený tovar pri doprave";"Produkt nezodpovedal popisu";"Zákazník zmenil názor";"Neskoré doručenie";"Chybný/vadný kus";"Duplicitná objednávka"},MOD(CODE(LEFT(A91,1))+LEN(A91),7)+1),"")</f>
        <v/>
      </c>
    </row>
    <row r="92" spans="1:12" x14ac:dyDescent="0.3">
      <c r="A92" s="2" t="s">
        <v>424</v>
      </c>
      <c r="B92" s="2" t="s">
        <v>94</v>
      </c>
      <c r="C92" s="2" t="s">
        <v>328</v>
      </c>
      <c r="D92" s="2">
        <v>1</v>
      </c>
      <c r="E92" s="4">
        <f>VLOOKUP(C92,Products!$A:$E,4,FALSE())</f>
        <v>7.49</v>
      </c>
      <c r="F92" s="8">
        <v>0.05</v>
      </c>
      <c r="G92" s="4">
        <f t="shared" si="4"/>
        <v>7.1154999999999999</v>
      </c>
      <c r="H92" s="4">
        <f>VLOOKUP(C92,Products!$A:$E,5,FALSE())</f>
        <v>2</v>
      </c>
      <c r="I92" s="4">
        <f t="shared" si="5"/>
        <v>7.1154999999999999</v>
      </c>
      <c r="J92" s="4">
        <f t="shared" si="6"/>
        <v>5.1154999999999999</v>
      </c>
      <c r="K92" s="9">
        <f t="shared" si="7"/>
        <v>0.71892347691659053</v>
      </c>
      <c r="L92" s="2" t="str">
        <f>IF(VLOOKUP(B92,Orders!$A:$D,4,FALSE())="Vrátená",INDEX({"Nevyhovujúca veľkosť";"Poškodený tovar pri doprave";"Produkt nezodpovedal popisu";"Zákazník zmenil názor";"Neskoré doručenie";"Chybný/vadný kus";"Duplicitná objednávka"},MOD(CODE(LEFT(A92,1))+LEN(A92),7)+1),"")</f>
        <v/>
      </c>
    </row>
    <row r="93" spans="1:12" x14ac:dyDescent="0.3">
      <c r="A93" s="5" t="s">
        <v>425</v>
      </c>
      <c r="B93" s="5" t="s">
        <v>95</v>
      </c>
      <c r="C93" s="5" t="s">
        <v>426</v>
      </c>
      <c r="D93" s="5">
        <v>4</v>
      </c>
      <c r="E93" s="7">
        <f>VLOOKUP(C93,Products!$A:$E,4,FALSE())</f>
        <v>6.99</v>
      </c>
      <c r="F93" s="10">
        <v>0.1</v>
      </c>
      <c r="G93" s="7">
        <f t="shared" si="4"/>
        <v>6.2910000000000004</v>
      </c>
      <c r="H93" s="7">
        <f>VLOOKUP(C93,Products!$A:$E,5,FALSE())</f>
        <v>2</v>
      </c>
      <c r="I93" s="7">
        <f t="shared" si="5"/>
        <v>25.164000000000001</v>
      </c>
      <c r="J93" s="7">
        <f t="shared" si="6"/>
        <v>17.164000000000001</v>
      </c>
      <c r="K93" s="11">
        <f t="shared" si="7"/>
        <v>0.68208551899539027</v>
      </c>
      <c r="L93" s="5" t="str">
        <f>IF(VLOOKUP(B93,Orders!$A:$D,4,FALSE())="Vrátená",INDEX({"Nevyhovujúca veľkosť";"Poškodený tovar pri doprave";"Produkt nezodpovedal popisu";"Zákazník zmenil názor";"Neskoré doručenie";"Chybný/vadný kus";"Duplicitná objednávka"},MOD(CODE(LEFT(A93,1))+LEN(A93),7)+1),"")</f>
        <v/>
      </c>
    </row>
    <row r="94" spans="1:12" x14ac:dyDescent="0.3">
      <c r="A94" s="2" t="s">
        <v>427</v>
      </c>
      <c r="B94" s="2" t="s">
        <v>96</v>
      </c>
      <c r="C94" s="2" t="s">
        <v>428</v>
      </c>
      <c r="D94" s="2">
        <v>1</v>
      </c>
      <c r="E94" s="4">
        <f>VLOOKUP(C94,Products!$A:$E,4,FALSE())</f>
        <v>10.49</v>
      </c>
      <c r="F94" s="8">
        <v>0</v>
      </c>
      <c r="G94" s="4">
        <f t="shared" si="4"/>
        <v>10.49</v>
      </c>
      <c r="H94" s="4">
        <f>VLOOKUP(C94,Products!$A:$E,5,FALSE())</f>
        <v>3.5</v>
      </c>
      <c r="I94" s="4">
        <f t="shared" si="5"/>
        <v>10.49</v>
      </c>
      <c r="J94" s="4">
        <f t="shared" si="6"/>
        <v>6.99</v>
      </c>
      <c r="K94" s="9">
        <f t="shared" si="7"/>
        <v>0.66634890371782651</v>
      </c>
      <c r="L94" s="2" t="str">
        <f>IF(VLOOKUP(B94,Orders!$A:$D,4,FALSE())="Vrátená",INDEX({"Nevyhovujúca veľkosť";"Poškodený tovar pri doprave";"Produkt nezodpovedal popisu";"Zákazník zmenil názor";"Neskoré doručenie";"Chybný/vadný kus";"Duplicitná objednávka"},MOD(CODE(LEFT(A94,1))+LEN(A94),7)+1),"")</f>
        <v/>
      </c>
    </row>
    <row r="95" spans="1:12" x14ac:dyDescent="0.3">
      <c r="A95" s="5" t="s">
        <v>429</v>
      </c>
      <c r="B95" s="5" t="s">
        <v>96</v>
      </c>
      <c r="C95" s="5" t="s">
        <v>364</v>
      </c>
      <c r="D95" s="5">
        <v>2</v>
      </c>
      <c r="E95" s="7">
        <f>VLOOKUP(C95,Products!$A:$E,4,FALSE())</f>
        <v>49.99</v>
      </c>
      <c r="F95" s="10">
        <v>0.15</v>
      </c>
      <c r="G95" s="7">
        <f t="shared" si="4"/>
        <v>42.491500000000002</v>
      </c>
      <c r="H95" s="7">
        <f>VLOOKUP(C95,Products!$A:$E,5,FALSE())</f>
        <v>22</v>
      </c>
      <c r="I95" s="7">
        <f t="shared" si="5"/>
        <v>84.983000000000004</v>
      </c>
      <c r="J95" s="7">
        <f t="shared" si="6"/>
        <v>40.983000000000004</v>
      </c>
      <c r="K95" s="11">
        <f t="shared" si="7"/>
        <v>0.48224939105468156</v>
      </c>
      <c r="L95" s="5" t="str">
        <f>IF(VLOOKUP(B95,Orders!$A:$D,4,FALSE())="Vrátená",INDEX({"Nevyhovujúca veľkosť";"Poškodený tovar pri doprave";"Produkt nezodpovedal popisu";"Zákazník zmenil názor";"Neskoré doručenie";"Chybný/vadný kus";"Duplicitná objednávka"},MOD(CODE(LEFT(A95,1))+LEN(A95),7)+1),"")</f>
        <v/>
      </c>
    </row>
    <row r="96" spans="1:12" x14ac:dyDescent="0.3">
      <c r="A96" s="2" t="s">
        <v>430</v>
      </c>
      <c r="B96" s="2" t="s">
        <v>98</v>
      </c>
      <c r="C96" s="2" t="s">
        <v>322</v>
      </c>
      <c r="D96" s="2">
        <v>1</v>
      </c>
      <c r="E96" s="4">
        <f>VLOOKUP(C96,Products!$A:$E,4,FALSE())</f>
        <v>104.99</v>
      </c>
      <c r="F96" s="8">
        <v>0.2</v>
      </c>
      <c r="G96" s="4">
        <f t="shared" si="4"/>
        <v>83.992000000000004</v>
      </c>
      <c r="H96" s="4">
        <f>VLOOKUP(C96,Products!$A:$E,5,FALSE())</f>
        <v>55</v>
      </c>
      <c r="I96" s="4">
        <f t="shared" si="5"/>
        <v>83.992000000000004</v>
      </c>
      <c r="J96" s="4">
        <f t="shared" si="6"/>
        <v>28.992000000000004</v>
      </c>
      <c r="K96" s="9">
        <f t="shared" si="7"/>
        <v>0.34517573102200211</v>
      </c>
      <c r="L96" s="2" t="str">
        <f>IF(VLOOKUP(B96,Orders!$A:$D,4,FALSE())="Vrátená",INDEX({"Nevyhovujúca veľkosť";"Poškodený tovar pri doprave";"Produkt nezodpovedal popisu";"Zákazník zmenil názor";"Neskoré doručenie";"Chybný/vadný kus";"Duplicitná objednávka"},MOD(CODE(LEFT(A96,1))+LEN(A96),7)+1),"")</f>
        <v/>
      </c>
    </row>
    <row r="97" spans="1:12" x14ac:dyDescent="0.3">
      <c r="A97" s="5" t="s">
        <v>431</v>
      </c>
      <c r="B97" s="5" t="s">
        <v>99</v>
      </c>
      <c r="C97" s="5" t="s">
        <v>432</v>
      </c>
      <c r="D97" s="5">
        <v>2</v>
      </c>
      <c r="E97" s="7">
        <f>VLOOKUP(C97,Products!$A:$E,4,FALSE())</f>
        <v>11.49</v>
      </c>
      <c r="F97" s="10">
        <v>0</v>
      </c>
      <c r="G97" s="7">
        <f t="shared" si="4"/>
        <v>11.49</v>
      </c>
      <c r="H97" s="7">
        <f>VLOOKUP(C97,Products!$A:$E,5,FALSE())</f>
        <v>3.5</v>
      </c>
      <c r="I97" s="7">
        <f t="shared" si="5"/>
        <v>22.98</v>
      </c>
      <c r="J97" s="7">
        <f t="shared" si="6"/>
        <v>15.98</v>
      </c>
      <c r="K97" s="11">
        <f t="shared" si="7"/>
        <v>0.69538729329852045</v>
      </c>
      <c r="L97" s="5" t="str">
        <f>IF(VLOOKUP(B97,Orders!$A:$D,4,FALSE())="Vrátená",INDEX({"Nevyhovujúca veľkosť";"Poškodený tovar pri doprave";"Produkt nezodpovedal popisu";"Zákazník zmenil názor";"Neskoré doručenie";"Chybný/vadný kus";"Duplicitná objednávka"},MOD(CODE(LEFT(A97,1))+LEN(A97),7)+1),"")</f>
        <v/>
      </c>
    </row>
    <row r="98" spans="1:12" x14ac:dyDescent="0.3">
      <c r="A98" s="2" t="s">
        <v>433</v>
      </c>
      <c r="B98" s="2" t="s">
        <v>99</v>
      </c>
      <c r="C98" s="2" t="s">
        <v>322</v>
      </c>
      <c r="D98" s="2">
        <v>2</v>
      </c>
      <c r="E98" s="4">
        <f>VLOOKUP(C98,Products!$A:$E,4,FALSE())</f>
        <v>104.99</v>
      </c>
      <c r="F98" s="8">
        <v>0</v>
      </c>
      <c r="G98" s="4">
        <f t="shared" si="4"/>
        <v>104.99</v>
      </c>
      <c r="H98" s="4">
        <f>VLOOKUP(C98,Products!$A:$E,5,FALSE())</f>
        <v>55</v>
      </c>
      <c r="I98" s="4">
        <f t="shared" si="5"/>
        <v>209.98</v>
      </c>
      <c r="J98" s="4">
        <f t="shared" si="6"/>
        <v>99.97999999999999</v>
      </c>
      <c r="K98" s="9">
        <f t="shared" si="7"/>
        <v>0.47614058481760163</v>
      </c>
      <c r="L98" s="2" t="str">
        <f>IF(VLOOKUP(B98,Orders!$A:$D,4,FALSE())="Vrátená",INDEX({"Nevyhovujúca veľkosť";"Poškodený tovar pri doprave";"Produkt nezodpovedal popisu";"Zákazník zmenil názor";"Neskoré doručenie";"Chybný/vadný kus";"Duplicitná objednávka"},MOD(CODE(LEFT(A98,1))+LEN(A98),7)+1),"")</f>
        <v/>
      </c>
    </row>
    <row r="99" spans="1:12" x14ac:dyDescent="0.3">
      <c r="A99" s="5" t="s">
        <v>434</v>
      </c>
      <c r="B99" s="5" t="s">
        <v>99</v>
      </c>
      <c r="C99" s="5" t="s">
        <v>435</v>
      </c>
      <c r="D99" s="5">
        <v>1</v>
      </c>
      <c r="E99" s="7">
        <f>VLOOKUP(C99,Products!$A:$E,4,FALSE())</f>
        <v>7.49</v>
      </c>
      <c r="F99" s="10">
        <v>0.1</v>
      </c>
      <c r="G99" s="7">
        <f t="shared" si="4"/>
        <v>6.7410000000000005</v>
      </c>
      <c r="H99" s="7">
        <f>VLOOKUP(C99,Products!$A:$E,5,FALSE())</f>
        <v>2.2000000000000002</v>
      </c>
      <c r="I99" s="7">
        <f t="shared" si="5"/>
        <v>6.7410000000000005</v>
      </c>
      <c r="J99" s="7">
        <f t="shared" si="6"/>
        <v>4.5410000000000004</v>
      </c>
      <c r="K99" s="11">
        <f t="shared" si="7"/>
        <v>0.67363892597537456</v>
      </c>
      <c r="L99" s="5" t="str">
        <f>IF(VLOOKUP(B99,Orders!$A:$D,4,FALSE())="Vrátená",INDEX({"Nevyhovujúca veľkosť";"Poškodený tovar pri doprave";"Produkt nezodpovedal popisu";"Zákazník zmenil názor";"Neskoré doručenie";"Chybný/vadný kus";"Duplicitná objednávka"},MOD(CODE(LEFT(A99,1))+LEN(A99),7)+1),"")</f>
        <v/>
      </c>
    </row>
    <row r="100" spans="1:12" x14ac:dyDescent="0.3">
      <c r="A100" s="2" t="s">
        <v>436</v>
      </c>
      <c r="B100" s="2" t="s">
        <v>100</v>
      </c>
      <c r="C100" s="2" t="s">
        <v>437</v>
      </c>
      <c r="D100" s="2">
        <v>1</v>
      </c>
      <c r="E100" s="4">
        <f>VLOOKUP(C100,Products!$A:$E,4,FALSE())</f>
        <v>29.99</v>
      </c>
      <c r="F100" s="8">
        <v>0</v>
      </c>
      <c r="G100" s="4">
        <f t="shared" si="4"/>
        <v>29.99</v>
      </c>
      <c r="H100" s="4">
        <f>VLOOKUP(C100,Products!$A:$E,5,FALSE())</f>
        <v>11</v>
      </c>
      <c r="I100" s="4">
        <f t="shared" si="5"/>
        <v>29.99</v>
      </c>
      <c r="J100" s="4">
        <f t="shared" si="6"/>
        <v>18.989999999999998</v>
      </c>
      <c r="K100" s="9">
        <f t="shared" si="7"/>
        <v>0.63321107035678559</v>
      </c>
      <c r="L100" s="2" t="str">
        <f>IF(VLOOKUP(B100,Orders!$A:$D,4,FALSE())="Vrátená",INDEX({"Nevyhovujúca veľkosť";"Poškodený tovar pri doprave";"Produkt nezodpovedal popisu";"Zákazník zmenil názor";"Neskoré doručenie";"Chybný/vadný kus";"Duplicitná objednávka"},MOD(CODE(LEFT(A100,1))+LEN(A100),7)+1),"")</f>
        <v/>
      </c>
    </row>
    <row r="101" spans="1:12" x14ac:dyDescent="0.3">
      <c r="A101" s="5" t="s">
        <v>438</v>
      </c>
      <c r="B101" s="5" t="s">
        <v>100</v>
      </c>
      <c r="C101" s="5" t="s">
        <v>439</v>
      </c>
      <c r="D101" s="5">
        <v>3</v>
      </c>
      <c r="E101" s="7">
        <f>VLOOKUP(C101,Products!$A:$E,4,FALSE())</f>
        <v>34.99</v>
      </c>
      <c r="F101" s="10">
        <v>0</v>
      </c>
      <c r="G101" s="7">
        <f t="shared" si="4"/>
        <v>34.99</v>
      </c>
      <c r="H101" s="7">
        <f>VLOOKUP(C101,Products!$A:$E,5,FALSE())</f>
        <v>13</v>
      </c>
      <c r="I101" s="7">
        <f t="shared" si="5"/>
        <v>104.97</v>
      </c>
      <c r="J101" s="7">
        <f t="shared" si="6"/>
        <v>65.97</v>
      </c>
      <c r="K101" s="11">
        <f t="shared" si="7"/>
        <v>0.62846527579308376</v>
      </c>
      <c r="L101" s="5" t="str">
        <f>IF(VLOOKUP(B101,Orders!$A:$D,4,FALSE())="Vrátená",INDEX({"Nevyhovujúca veľkosť";"Poškodený tovar pri doprave";"Produkt nezodpovedal popisu";"Zákazník zmenil názor";"Neskoré doručenie";"Chybný/vadný kus";"Duplicitná objednávka"},MOD(CODE(LEFT(A101,1))+LEN(A101),7)+1),"")</f>
        <v/>
      </c>
    </row>
    <row r="102" spans="1:12" x14ac:dyDescent="0.3">
      <c r="A102" s="2" t="s">
        <v>440</v>
      </c>
      <c r="B102" s="2" t="s">
        <v>100</v>
      </c>
      <c r="C102" s="2" t="s">
        <v>355</v>
      </c>
      <c r="D102" s="2">
        <v>1</v>
      </c>
      <c r="E102" s="4">
        <f>VLOOKUP(C102,Products!$A:$E,4,FALSE())</f>
        <v>27.99</v>
      </c>
      <c r="F102" s="8">
        <v>0</v>
      </c>
      <c r="G102" s="4">
        <f t="shared" si="4"/>
        <v>27.99</v>
      </c>
      <c r="H102" s="4">
        <f>VLOOKUP(C102,Products!$A:$E,5,FALSE())</f>
        <v>12</v>
      </c>
      <c r="I102" s="4">
        <f t="shared" si="5"/>
        <v>27.99</v>
      </c>
      <c r="J102" s="4">
        <f t="shared" si="6"/>
        <v>15.989999999999998</v>
      </c>
      <c r="K102" s="9">
        <f t="shared" si="7"/>
        <v>0.5712754555198285</v>
      </c>
      <c r="L102" s="2" t="str">
        <f>IF(VLOOKUP(B102,Orders!$A:$D,4,FALSE())="Vrátená",INDEX({"Nevyhovujúca veľkosť";"Poškodený tovar pri doprave";"Produkt nezodpovedal popisu";"Zákazník zmenil názor";"Neskoré doručenie";"Chybný/vadný kus";"Duplicitná objednávka"},MOD(CODE(LEFT(A102,1))+LEN(A102),7)+1),"")</f>
        <v/>
      </c>
    </row>
    <row r="103" spans="1:12" x14ac:dyDescent="0.3">
      <c r="A103" s="5" t="s">
        <v>441</v>
      </c>
      <c r="B103" s="5" t="s">
        <v>102</v>
      </c>
      <c r="C103" s="5" t="s">
        <v>442</v>
      </c>
      <c r="D103" s="5">
        <v>2</v>
      </c>
      <c r="E103" s="7">
        <f>VLOOKUP(C103,Products!$A:$E,4,FALSE())</f>
        <v>8.99</v>
      </c>
      <c r="F103" s="10">
        <v>0</v>
      </c>
      <c r="G103" s="7">
        <f t="shared" si="4"/>
        <v>8.99</v>
      </c>
      <c r="H103" s="7">
        <f>VLOOKUP(C103,Products!$A:$E,5,FALSE())</f>
        <v>3</v>
      </c>
      <c r="I103" s="7">
        <f t="shared" si="5"/>
        <v>17.98</v>
      </c>
      <c r="J103" s="7">
        <f t="shared" si="6"/>
        <v>11.98</v>
      </c>
      <c r="K103" s="11">
        <f t="shared" si="7"/>
        <v>0.66629588431590658</v>
      </c>
      <c r="L103" s="5" t="str">
        <f>IF(VLOOKUP(B103,Orders!$A:$D,4,FALSE())="Vrátená",INDEX({"Nevyhovujúca veľkosť";"Poškodený tovar pri doprave";"Produkt nezodpovedal popisu";"Zákazník zmenil názor";"Neskoré doručenie";"Chybný/vadný kus";"Duplicitná objednávka"},MOD(CODE(LEFT(A103,1))+LEN(A103),7)+1),"")</f>
        <v/>
      </c>
    </row>
    <row r="104" spans="1:12" x14ac:dyDescent="0.3">
      <c r="A104" s="2" t="s">
        <v>443</v>
      </c>
      <c r="B104" s="2" t="s">
        <v>102</v>
      </c>
      <c r="C104" s="2" t="s">
        <v>355</v>
      </c>
      <c r="D104" s="2">
        <v>1</v>
      </c>
      <c r="E104" s="4">
        <f>VLOOKUP(C104,Products!$A:$E,4,FALSE())</f>
        <v>27.99</v>
      </c>
      <c r="F104" s="8">
        <v>0</v>
      </c>
      <c r="G104" s="4">
        <f t="shared" si="4"/>
        <v>27.99</v>
      </c>
      <c r="H104" s="4">
        <f>VLOOKUP(C104,Products!$A:$E,5,FALSE())</f>
        <v>12</v>
      </c>
      <c r="I104" s="4">
        <f t="shared" si="5"/>
        <v>27.99</v>
      </c>
      <c r="J104" s="4">
        <f t="shared" si="6"/>
        <v>15.989999999999998</v>
      </c>
      <c r="K104" s="9">
        <f t="shared" si="7"/>
        <v>0.5712754555198285</v>
      </c>
      <c r="L104" s="2" t="str">
        <f>IF(VLOOKUP(B104,Orders!$A:$D,4,FALSE())="Vrátená",INDEX({"Nevyhovujúca veľkosť";"Poškodený tovar pri doprave";"Produkt nezodpovedal popisu";"Zákazník zmenil názor";"Neskoré doručenie";"Chybný/vadný kus";"Duplicitná objednávka"},MOD(CODE(LEFT(A104,1))+LEN(A104),7)+1),"")</f>
        <v/>
      </c>
    </row>
    <row r="105" spans="1:12" x14ac:dyDescent="0.3">
      <c r="A105" s="5" t="s">
        <v>444</v>
      </c>
      <c r="B105" s="5" t="s">
        <v>102</v>
      </c>
      <c r="C105" s="5" t="s">
        <v>300</v>
      </c>
      <c r="D105" s="5">
        <v>3</v>
      </c>
      <c r="E105" s="7">
        <f>VLOOKUP(C105,Products!$A:$E,4,FALSE())</f>
        <v>39.99</v>
      </c>
      <c r="F105" s="10">
        <v>0.2</v>
      </c>
      <c r="G105" s="7">
        <f t="shared" si="4"/>
        <v>31.992000000000004</v>
      </c>
      <c r="H105" s="7">
        <f>VLOOKUP(C105,Products!$A:$E,5,FALSE())</f>
        <v>17</v>
      </c>
      <c r="I105" s="7">
        <f t="shared" si="5"/>
        <v>95.976000000000013</v>
      </c>
      <c r="J105" s="7">
        <f t="shared" si="6"/>
        <v>44.976000000000013</v>
      </c>
      <c r="K105" s="11">
        <f t="shared" si="7"/>
        <v>0.4686171542885722</v>
      </c>
      <c r="L105" s="5" t="str">
        <f>IF(VLOOKUP(B105,Orders!$A:$D,4,FALSE())="Vrátená",INDEX({"Nevyhovujúca veľkosť";"Poškodený tovar pri doprave";"Produkt nezodpovedal popisu";"Zákazník zmenil názor";"Neskoré doručenie";"Chybný/vadný kus";"Duplicitná objednávka"},MOD(CODE(LEFT(A105,1))+LEN(A105),7)+1),"")</f>
        <v/>
      </c>
    </row>
    <row r="106" spans="1:12" x14ac:dyDescent="0.3">
      <c r="A106" s="2" t="s">
        <v>445</v>
      </c>
      <c r="B106" s="2" t="s">
        <v>102</v>
      </c>
      <c r="C106" s="2" t="s">
        <v>364</v>
      </c>
      <c r="D106" s="2">
        <v>2</v>
      </c>
      <c r="E106" s="4">
        <f>VLOOKUP(C106,Products!$A:$E,4,FALSE())</f>
        <v>49.99</v>
      </c>
      <c r="F106" s="8">
        <v>0.2</v>
      </c>
      <c r="G106" s="4">
        <f t="shared" si="4"/>
        <v>39.992000000000004</v>
      </c>
      <c r="H106" s="4">
        <f>VLOOKUP(C106,Products!$A:$E,5,FALSE())</f>
        <v>22</v>
      </c>
      <c r="I106" s="4">
        <f t="shared" si="5"/>
        <v>79.984000000000009</v>
      </c>
      <c r="J106" s="4">
        <f t="shared" si="6"/>
        <v>35.984000000000009</v>
      </c>
      <c r="K106" s="9">
        <f t="shared" si="7"/>
        <v>0.44988997799559916</v>
      </c>
      <c r="L106" s="2" t="str">
        <f>IF(VLOOKUP(B106,Orders!$A:$D,4,FALSE())="Vrátená",INDEX({"Nevyhovujúca veľkosť";"Poškodený tovar pri doprave";"Produkt nezodpovedal popisu";"Zákazník zmenil názor";"Neskoré doručenie";"Chybný/vadný kus";"Duplicitná objednávka"},MOD(CODE(LEFT(A106,1))+LEN(A106),7)+1),"")</f>
        <v/>
      </c>
    </row>
    <row r="107" spans="1:12" x14ac:dyDescent="0.3">
      <c r="A107" s="5" t="s">
        <v>446</v>
      </c>
      <c r="B107" s="5" t="s">
        <v>104</v>
      </c>
      <c r="C107" s="5" t="s">
        <v>437</v>
      </c>
      <c r="D107" s="5">
        <v>3</v>
      </c>
      <c r="E107" s="7">
        <f>VLOOKUP(C107,Products!$A:$E,4,FALSE())</f>
        <v>29.99</v>
      </c>
      <c r="F107" s="10">
        <v>0</v>
      </c>
      <c r="G107" s="7">
        <f t="shared" si="4"/>
        <v>29.99</v>
      </c>
      <c r="H107" s="7">
        <f>VLOOKUP(C107,Products!$A:$E,5,FALSE())</f>
        <v>11</v>
      </c>
      <c r="I107" s="7">
        <f t="shared" si="5"/>
        <v>89.97</v>
      </c>
      <c r="J107" s="7">
        <f t="shared" si="6"/>
        <v>56.97</v>
      </c>
      <c r="K107" s="11">
        <f t="shared" si="7"/>
        <v>0.63321107035678559</v>
      </c>
      <c r="L107" s="5" t="str">
        <f>IF(VLOOKUP(B107,Orders!$A:$D,4,FALSE())="Vrátená",INDEX({"Nevyhovujúca veľkosť";"Poškodený tovar pri doprave";"Produkt nezodpovedal popisu";"Zákazník zmenil názor";"Neskoré doručenie";"Chybný/vadný kus";"Duplicitná objednávka"},MOD(CODE(LEFT(A107,1))+LEN(A107),7)+1),"")</f>
        <v/>
      </c>
    </row>
    <row r="108" spans="1:12" x14ac:dyDescent="0.3">
      <c r="A108" s="2" t="s">
        <v>447</v>
      </c>
      <c r="B108" s="2" t="s">
        <v>104</v>
      </c>
      <c r="C108" s="2" t="s">
        <v>340</v>
      </c>
      <c r="D108" s="2">
        <v>1</v>
      </c>
      <c r="E108" s="4">
        <f>VLOOKUP(C108,Products!$A:$E,4,FALSE())</f>
        <v>44.99</v>
      </c>
      <c r="F108" s="8">
        <v>0</v>
      </c>
      <c r="G108" s="4">
        <f t="shared" si="4"/>
        <v>44.99</v>
      </c>
      <c r="H108" s="4">
        <f>VLOOKUP(C108,Products!$A:$E,5,FALSE())</f>
        <v>18</v>
      </c>
      <c r="I108" s="4">
        <f t="shared" si="5"/>
        <v>44.99</v>
      </c>
      <c r="J108" s="4">
        <f t="shared" si="6"/>
        <v>26.990000000000002</v>
      </c>
      <c r="K108" s="9">
        <f t="shared" si="7"/>
        <v>0.59991109135363418</v>
      </c>
      <c r="L108" s="2" t="str">
        <f>IF(VLOOKUP(B108,Orders!$A:$D,4,FALSE())="Vrátená",INDEX({"Nevyhovujúca veľkosť";"Poškodený tovar pri doprave";"Produkt nezodpovedal popisu";"Zákazník zmenil názor";"Neskoré doručenie";"Chybný/vadný kus";"Duplicitná objednávka"},MOD(CODE(LEFT(A108,1))+LEN(A108),7)+1),"")</f>
        <v/>
      </c>
    </row>
    <row r="109" spans="1:12" x14ac:dyDescent="0.3">
      <c r="A109" s="5" t="s">
        <v>448</v>
      </c>
      <c r="B109" s="5" t="s">
        <v>104</v>
      </c>
      <c r="C109" s="5" t="s">
        <v>300</v>
      </c>
      <c r="D109" s="5">
        <v>4</v>
      </c>
      <c r="E109" s="7">
        <f>VLOOKUP(C109,Products!$A:$E,4,FALSE())</f>
        <v>39.99</v>
      </c>
      <c r="F109" s="10">
        <v>0</v>
      </c>
      <c r="G109" s="7">
        <f t="shared" si="4"/>
        <v>39.99</v>
      </c>
      <c r="H109" s="7">
        <f>VLOOKUP(C109,Products!$A:$E,5,FALSE())</f>
        <v>17</v>
      </c>
      <c r="I109" s="7">
        <f t="shared" si="5"/>
        <v>159.96</v>
      </c>
      <c r="J109" s="7">
        <f t="shared" si="6"/>
        <v>91.960000000000008</v>
      </c>
      <c r="K109" s="11">
        <f t="shared" si="7"/>
        <v>0.57489372343085776</v>
      </c>
      <c r="L109" s="5" t="str">
        <f>IF(VLOOKUP(B109,Orders!$A:$D,4,FALSE())="Vrátená",INDEX({"Nevyhovujúca veľkosť";"Poškodený tovar pri doprave";"Produkt nezodpovedal popisu";"Zákazník zmenil názor";"Neskoré doručenie";"Chybný/vadný kus";"Duplicitná objednávka"},MOD(CODE(LEFT(A109,1))+LEN(A109),7)+1),"")</f>
        <v/>
      </c>
    </row>
    <row r="110" spans="1:12" x14ac:dyDescent="0.3">
      <c r="A110" s="2" t="s">
        <v>449</v>
      </c>
      <c r="B110" s="2" t="s">
        <v>104</v>
      </c>
      <c r="C110" s="2" t="s">
        <v>432</v>
      </c>
      <c r="D110" s="2">
        <v>2</v>
      </c>
      <c r="E110" s="4">
        <f>VLOOKUP(C110,Products!$A:$E,4,FALSE())</f>
        <v>11.49</v>
      </c>
      <c r="F110" s="8">
        <v>0</v>
      </c>
      <c r="G110" s="4">
        <f t="shared" si="4"/>
        <v>11.49</v>
      </c>
      <c r="H110" s="4">
        <f>VLOOKUP(C110,Products!$A:$E,5,FALSE())</f>
        <v>3.5</v>
      </c>
      <c r="I110" s="4">
        <f t="shared" si="5"/>
        <v>22.98</v>
      </c>
      <c r="J110" s="4">
        <f t="shared" si="6"/>
        <v>15.98</v>
      </c>
      <c r="K110" s="9">
        <f t="shared" si="7"/>
        <v>0.69538729329852045</v>
      </c>
      <c r="L110" s="2" t="str">
        <f>IF(VLOOKUP(B110,Orders!$A:$D,4,FALSE())="Vrátená",INDEX({"Nevyhovujúca veľkosť";"Poškodený tovar pri doprave";"Produkt nezodpovedal popisu";"Zákazník zmenil názor";"Neskoré doručenie";"Chybný/vadný kus";"Duplicitná objednávka"},MOD(CODE(LEFT(A110,1))+LEN(A110),7)+1),"")</f>
        <v/>
      </c>
    </row>
    <row r="111" spans="1:12" x14ac:dyDescent="0.3">
      <c r="A111" s="5" t="s">
        <v>450</v>
      </c>
      <c r="B111" s="5" t="s">
        <v>106</v>
      </c>
      <c r="C111" s="5" t="s">
        <v>324</v>
      </c>
      <c r="D111" s="5">
        <v>1</v>
      </c>
      <c r="E111" s="7">
        <f>VLOOKUP(C111,Products!$A:$E,4,FALSE())</f>
        <v>13.99</v>
      </c>
      <c r="F111" s="10">
        <v>0.1</v>
      </c>
      <c r="G111" s="7">
        <f t="shared" si="4"/>
        <v>12.591000000000001</v>
      </c>
      <c r="H111" s="7">
        <f>VLOOKUP(C111,Products!$A:$E,5,FALSE())</f>
        <v>5</v>
      </c>
      <c r="I111" s="7">
        <f t="shared" si="5"/>
        <v>12.591000000000001</v>
      </c>
      <c r="J111" s="7">
        <f t="shared" si="6"/>
        <v>7.5910000000000011</v>
      </c>
      <c r="K111" s="11">
        <f t="shared" si="7"/>
        <v>0.60289095385592884</v>
      </c>
      <c r="L111" s="5" t="str">
        <f>IF(VLOOKUP(B111,Orders!$A:$D,4,FALSE())="Vrátená",INDEX({"Nevyhovujúca veľkosť";"Poškodený tovar pri doprave";"Produkt nezodpovedal popisu";"Zákazník zmenil názor";"Neskoré doručenie";"Chybný/vadný kus";"Duplicitná objednávka"},MOD(CODE(LEFT(A111,1))+LEN(A111),7)+1),"")</f>
        <v/>
      </c>
    </row>
    <row r="112" spans="1:12" x14ac:dyDescent="0.3">
      <c r="A112" s="2" t="s">
        <v>451</v>
      </c>
      <c r="B112" s="2" t="s">
        <v>106</v>
      </c>
      <c r="C112" s="2" t="s">
        <v>322</v>
      </c>
      <c r="D112" s="2">
        <v>1</v>
      </c>
      <c r="E112" s="4">
        <f>VLOOKUP(C112,Products!$A:$E,4,FALSE())</f>
        <v>104.99</v>
      </c>
      <c r="F112" s="8">
        <v>0</v>
      </c>
      <c r="G112" s="4">
        <f t="shared" si="4"/>
        <v>104.99</v>
      </c>
      <c r="H112" s="4">
        <f>VLOOKUP(C112,Products!$A:$E,5,FALSE())</f>
        <v>55</v>
      </c>
      <c r="I112" s="4">
        <f t="shared" si="5"/>
        <v>104.99</v>
      </c>
      <c r="J112" s="4">
        <f t="shared" si="6"/>
        <v>49.989999999999995</v>
      </c>
      <c r="K112" s="9">
        <f t="shared" si="7"/>
        <v>0.47614058481760163</v>
      </c>
      <c r="L112" s="2" t="str">
        <f>IF(VLOOKUP(B112,Orders!$A:$D,4,FALSE())="Vrátená",INDEX({"Nevyhovujúca veľkosť";"Poškodený tovar pri doprave";"Produkt nezodpovedal popisu";"Zákazník zmenil názor";"Neskoré doručenie";"Chybný/vadný kus";"Duplicitná objednávka"},MOD(CODE(LEFT(A112,1))+LEN(A112),7)+1),"")</f>
        <v/>
      </c>
    </row>
    <row r="113" spans="1:12" x14ac:dyDescent="0.3">
      <c r="A113" s="5" t="s">
        <v>452</v>
      </c>
      <c r="B113" s="5" t="s">
        <v>106</v>
      </c>
      <c r="C113" s="5" t="s">
        <v>334</v>
      </c>
      <c r="D113" s="5">
        <v>1</v>
      </c>
      <c r="E113" s="7">
        <f>VLOOKUP(C113,Products!$A:$E,4,FALSE())</f>
        <v>21.49</v>
      </c>
      <c r="F113" s="10">
        <v>0.05</v>
      </c>
      <c r="G113" s="7">
        <f t="shared" si="4"/>
        <v>20.415499999999998</v>
      </c>
      <c r="H113" s="7">
        <f>VLOOKUP(C113,Products!$A:$E,5,FALSE())</f>
        <v>8</v>
      </c>
      <c r="I113" s="7">
        <f t="shared" si="5"/>
        <v>20.415499999999998</v>
      </c>
      <c r="J113" s="7">
        <f t="shared" si="6"/>
        <v>12.415499999999998</v>
      </c>
      <c r="K113" s="11">
        <f t="shared" si="7"/>
        <v>0.60814087335602851</v>
      </c>
      <c r="L113" s="5" t="str">
        <f>IF(VLOOKUP(B113,Orders!$A:$D,4,FALSE())="Vrátená",INDEX({"Nevyhovujúca veľkosť";"Poškodený tovar pri doprave";"Produkt nezodpovedal popisu";"Zákazník zmenil názor";"Neskoré doručenie";"Chybný/vadný kus";"Duplicitná objednávka"},MOD(CODE(LEFT(A113,1))+LEN(A113),7)+1),"")</f>
        <v/>
      </c>
    </row>
    <row r="114" spans="1:12" x14ac:dyDescent="0.3">
      <c r="A114" s="2" t="s">
        <v>453</v>
      </c>
      <c r="B114" s="2" t="s">
        <v>107</v>
      </c>
      <c r="C114" s="2" t="s">
        <v>300</v>
      </c>
      <c r="D114" s="2">
        <v>1</v>
      </c>
      <c r="E114" s="4">
        <f>VLOOKUP(C114,Products!$A:$E,4,FALSE())</f>
        <v>39.99</v>
      </c>
      <c r="F114" s="8">
        <v>0</v>
      </c>
      <c r="G114" s="4">
        <f t="shared" si="4"/>
        <v>39.99</v>
      </c>
      <c r="H114" s="4">
        <f>VLOOKUP(C114,Products!$A:$E,5,FALSE())</f>
        <v>17</v>
      </c>
      <c r="I114" s="4">
        <f t="shared" si="5"/>
        <v>39.99</v>
      </c>
      <c r="J114" s="4">
        <f t="shared" si="6"/>
        <v>22.990000000000002</v>
      </c>
      <c r="K114" s="9">
        <f t="shared" si="7"/>
        <v>0.57489372343085776</v>
      </c>
      <c r="L114" s="2" t="str">
        <f>IF(VLOOKUP(B114,Orders!$A:$D,4,FALSE())="Vrátená",INDEX({"Nevyhovujúca veľkosť";"Poškodený tovar pri doprave";"Produkt nezodpovedal popisu";"Zákazník zmenil názor";"Neskoré doručenie";"Chybný/vadný kus";"Duplicitná objednávka"},MOD(CODE(LEFT(A114,1))+LEN(A114),7)+1),"")</f>
        <v/>
      </c>
    </row>
    <row r="115" spans="1:12" x14ac:dyDescent="0.3">
      <c r="A115" s="5" t="s">
        <v>454</v>
      </c>
      <c r="B115" s="5" t="s">
        <v>107</v>
      </c>
      <c r="C115" s="5" t="s">
        <v>442</v>
      </c>
      <c r="D115" s="5">
        <v>2</v>
      </c>
      <c r="E115" s="7">
        <f>VLOOKUP(C115,Products!$A:$E,4,FALSE())</f>
        <v>8.99</v>
      </c>
      <c r="F115" s="10">
        <v>0</v>
      </c>
      <c r="G115" s="7">
        <f t="shared" si="4"/>
        <v>8.99</v>
      </c>
      <c r="H115" s="7">
        <f>VLOOKUP(C115,Products!$A:$E,5,FALSE())</f>
        <v>3</v>
      </c>
      <c r="I115" s="7">
        <f t="shared" si="5"/>
        <v>17.98</v>
      </c>
      <c r="J115" s="7">
        <f t="shared" si="6"/>
        <v>11.98</v>
      </c>
      <c r="K115" s="11">
        <f t="shared" si="7"/>
        <v>0.66629588431590658</v>
      </c>
      <c r="L115" s="5" t="str">
        <f>IF(VLOOKUP(B115,Orders!$A:$D,4,FALSE())="Vrátená",INDEX({"Nevyhovujúca veľkosť";"Poškodený tovar pri doprave";"Produkt nezodpovedal popisu";"Zákazník zmenil názor";"Neskoré doručenie";"Chybný/vadný kus";"Duplicitná objednávka"},MOD(CODE(LEFT(A115,1))+LEN(A115),7)+1),"")</f>
        <v/>
      </c>
    </row>
    <row r="116" spans="1:12" x14ac:dyDescent="0.3">
      <c r="A116" s="2" t="s">
        <v>455</v>
      </c>
      <c r="B116" s="2" t="s">
        <v>107</v>
      </c>
      <c r="C116" s="2" t="s">
        <v>322</v>
      </c>
      <c r="D116" s="2">
        <v>1</v>
      </c>
      <c r="E116" s="4">
        <f>VLOOKUP(C116,Products!$A:$E,4,FALSE())</f>
        <v>104.99</v>
      </c>
      <c r="F116" s="8">
        <v>0</v>
      </c>
      <c r="G116" s="4">
        <f t="shared" si="4"/>
        <v>104.99</v>
      </c>
      <c r="H116" s="4">
        <f>VLOOKUP(C116,Products!$A:$E,5,FALSE())</f>
        <v>55</v>
      </c>
      <c r="I116" s="4">
        <f t="shared" si="5"/>
        <v>104.99</v>
      </c>
      <c r="J116" s="4">
        <f t="shared" si="6"/>
        <v>49.989999999999995</v>
      </c>
      <c r="K116" s="9">
        <f t="shared" si="7"/>
        <v>0.47614058481760163</v>
      </c>
      <c r="L116" s="2" t="str">
        <f>IF(VLOOKUP(B116,Orders!$A:$D,4,FALSE())="Vrátená",INDEX({"Nevyhovujúca veľkosť";"Poškodený tovar pri doprave";"Produkt nezodpovedal popisu";"Zákazník zmenil názor";"Neskoré doručenie";"Chybný/vadný kus";"Duplicitná objednávka"},MOD(CODE(LEFT(A116,1))+LEN(A116),7)+1),"")</f>
        <v/>
      </c>
    </row>
    <row r="117" spans="1:12" x14ac:dyDescent="0.3">
      <c r="A117" s="5" t="s">
        <v>456</v>
      </c>
      <c r="B117" s="5" t="s">
        <v>107</v>
      </c>
      <c r="C117" s="5" t="s">
        <v>328</v>
      </c>
      <c r="D117" s="5">
        <v>2</v>
      </c>
      <c r="E117" s="7">
        <f>VLOOKUP(C117,Products!$A:$E,4,FALSE())</f>
        <v>7.49</v>
      </c>
      <c r="F117" s="10">
        <v>0.1</v>
      </c>
      <c r="G117" s="7">
        <f t="shared" si="4"/>
        <v>6.7410000000000005</v>
      </c>
      <c r="H117" s="7">
        <f>VLOOKUP(C117,Products!$A:$E,5,FALSE())</f>
        <v>2</v>
      </c>
      <c r="I117" s="7">
        <f t="shared" si="5"/>
        <v>13.482000000000001</v>
      </c>
      <c r="J117" s="7">
        <f t="shared" si="6"/>
        <v>9.4820000000000011</v>
      </c>
      <c r="K117" s="11">
        <f t="shared" si="7"/>
        <v>0.70330811452306785</v>
      </c>
      <c r="L117" s="5" t="str">
        <f>IF(VLOOKUP(B117,Orders!$A:$D,4,FALSE())="Vrátená",INDEX({"Nevyhovujúca veľkosť";"Poškodený tovar pri doprave";"Produkt nezodpovedal popisu";"Zákazník zmenil názor";"Neskoré doručenie";"Chybný/vadný kus";"Duplicitná objednávka"},MOD(CODE(LEFT(A117,1))+LEN(A117),7)+1),"")</f>
        <v/>
      </c>
    </row>
    <row r="118" spans="1:12" x14ac:dyDescent="0.3">
      <c r="A118" s="2" t="s">
        <v>457</v>
      </c>
      <c r="B118" s="2" t="s">
        <v>108</v>
      </c>
      <c r="C118" s="2" t="s">
        <v>382</v>
      </c>
      <c r="D118" s="2">
        <v>2</v>
      </c>
      <c r="E118" s="4">
        <f>VLOOKUP(C118,Products!$A:$E,4,FALSE())</f>
        <v>6.99</v>
      </c>
      <c r="F118" s="8">
        <v>0</v>
      </c>
      <c r="G118" s="4">
        <f t="shared" si="4"/>
        <v>6.99</v>
      </c>
      <c r="H118" s="4">
        <f>VLOOKUP(C118,Products!$A:$E,5,FALSE())</f>
        <v>2</v>
      </c>
      <c r="I118" s="4">
        <f t="shared" si="5"/>
        <v>13.98</v>
      </c>
      <c r="J118" s="4">
        <f t="shared" si="6"/>
        <v>9.98</v>
      </c>
      <c r="K118" s="9">
        <f t="shared" si="7"/>
        <v>0.71387696709585124</v>
      </c>
      <c r="L118" s="2" t="str">
        <f>IF(VLOOKUP(B118,Orders!$A:$D,4,FALSE())="Vrátená",INDEX({"Nevyhovujúca veľkosť";"Poškodený tovar pri doprave";"Produkt nezodpovedal popisu";"Zákazník zmenil názor";"Neskoré doručenie";"Chybný/vadný kus";"Duplicitná objednávka"},MOD(CODE(LEFT(A118,1))+LEN(A118),7)+1),"")</f>
        <v/>
      </c>
    </row>
    <row r="119" spans="1:12" x14ac:dyDescent="0.3">
      <c r="A119" s="5" t="s">
        <v>458</v>
      </c>
      <c r="B119" s="5" t="s">
        <v>108</v>
      </c>
      <c r="C119" s="5" t="s">
        <v>300</v>
      </c>
      <c r="D119" s="5">
        <v>1</v>
      </c>
      <c r="E119" s="7">
        <f>VLOOKUP(C119,Products!$A:$E,4,FALSE())</f>
        <v>39.99</v>
      </c>
      <c r="F119" s="10">
        <v>0</v>
      </c>
      <c r="G119" s="7">
        <f t="shared" si="4"/>
        <v>39.99</v>
      </c>
      <c r="H119" s="7">
        <f>VLOOKUP(C119,Products!$A:$E,5,FALSE())</f>
        <v>17</v>
      </c>
      <c r="I119" s="7">
        <f t="shared" si="5"/>
        <v>39.99</v>
      </c>
      <c r="J119" s="7">
        <f t="shared" si="6"/>
        <v>22.990000000000002</v>
      </c>
      <c r="K119" s="11">
        <f t="shared" si="7"/>
        <v>0.57489372343085776</v>
      </c>
      <c r="L119" s="5" t="str">
        <f>IF(VLOOKUP(B119,Orders!$A:$D,4,FALSE())="Vrátená",INDEX({"Nevyhovujúca veľkosť";"Poškodený tovar pri doprave";"Produkt nezodpovedal popisu";"Zákazník zmenil názor";"Neskoré doručenie";"Chybný/vadný kus";"Duplicitná objednávka"},MOD(CODE(LEFT(A119,1))+LEN(A119),7)+1),"")</f>
        <v/>
      </c>
    </row>
    <row r="120" spans="1:12" x14ac:dyDescent="0.3">
      <c r="A120" s="2" t="s">
        <v>459</v>
      </c>
      <c r="B120" s="2" t="s">
        <v>110</v>
      </c>
      <c r="C120" s="2" t="s">
        <v>300</v>
      </c>
      <c r="D120" s="2">
        <v>5</v>
      </c>
      <c r="E120" s="4">
        <f>VLOOKUP(C120,Products!$A:$E,4,FALSE())</f>
        <v>39.99</v>
      </c>
      <c r="F120" s="8">
        <v>0.05</v>
      </c>
      <c r="G120" s="4">
        <f t="shared" si="4"/>
        <v>37.990499999999997</v>
      </c>
      <c r="H120" s="4">
        <f>VLOOKUP(C120,Products!$A:$E,5,FALSE())</f>
        <v>17</v>
      </c>
      <c r="I120" s="4">
        <f t="shared" si="5"/>
        <v>189.95249999999999</v>
      </c>
      <c r="J120" s="4">
        <f t="shared" si="6"/>
        <v>104.95249999999999</v>
      </c>
      <c r="K120" s="9">
        <f t="shared" si="7"/>
        <v>0.55251970887458701</v>
      </c>
      <c r="L120" s="2" t="str">
        <f>IF(VLOOKUP(B120,Orders!$A:$D,4,FALSE())="Vrátená",INDEX({"Nevyhovujúca veľkosť";"Poškodený tovar pri doprave";"Produkt nezodpovedal popisu";"Zákazník zmenil názor";"Neskoré doručenie";"Chybný/vadný kus";"Duplicitná objednávka"},MOD(CODE(LEFT(A120,1))+LEN(A120),7)+1),"")</f>
        <v/>
      </c>
    </row>
    <row r="121" spans="1:12" x14ac:dyDescent="0.3">
      <c r="A121" s="5" t="s">
        <v>460</v>
      </c>
      <c r="B121" s="5" t="s">
        <v>112</v>
      </c>
      <c r="C121" s="5" t="s">
        <v>461</v>
      </c>
      <c r="D121" s="5">
        <v>1</v>
      </c>
      <c r="E121" s="7">
        <f>VLOOKUP(C121,Products!$A:$E,4,FALSE())</f>
        <v>64.989999999999995</v>
      </c>
      <c r="F121" s="10">
        <v>0.15</v>
      </c>
      <c r="G121" s="7">
        <f t="shared" si="4"/>
        <v>55.241499999999995</v>
      </c>
      <c r="H121" s="7">
        <f>VLOOKUP(C121,Products!$A:$E,5,FALSE())</f>
        <v>32</v>
      </c>
      <c r="I121" s="7">
        <f t="shared" si="5"/>
        <v>55.241499999999995</v>
      </c>
      <c r="J121" s="7">
        <f t="shared" si="6"/>
        <v>23.241499999999995</v>
      </c>
      <c r="K121" s="11">
        <f t="shared" si="7"/>
        <v>0.42072536046269554</v>
      </c>
      <c r="L121" s="5" t="str">
        <f>IF(VLOOKUP(B121,Orders!$A:$D,4,FALSE())="Vrátená",INDEX({"Nevyhovujúca veľkosť";"Poškodený tovar pri doprave";"Produkt nezodpovedal popisu";"Zákazník zmenil názor";"Neskoré doručenie";"Chybný/vadný kus";"Duplicitná objednávka"},MOD(CODE(LEFT(A121,1))+LEN(A121),7)+1),"")</f>
        <v/>
      </c>
    </row>
    <row r="122" spans="1:12" x14ac:dyDescent="0.3">
      <c r="A122" s="2" t="s">
        <v>462</v>
      </c>
      <c r="B122" s="2" t="s">
        <v>113</v>
      </c>
      <c r="C122" s="2" t="s">
        <v>435</v>
      </c>
      <c r="D122" s="2">
        <v>1</v>
      </c>
      <c r="E122" s="4">
        <f>VLOOKUP(C122,Products!$A:$E,4,FALSE())</f>
        <v>7.49</v>
      </c>
      <c r="F122" s="8">
        <v>0.3</v>
      </c>
      <c r="G122" s="4">
        <f t="shared" si="4"/>
        <v>5.2429999999999994</v>
      </c>
      <c r="H122" s="4">
        <f>VLOOKUP(C122,Products!$A:$E,5,FALSE())</f>
        <v>2.2000000000000002</v>
      </c>
      <c r="I122" s="4">
        <f t="shared" si="5"/>
        <v>5.2429999999999994</v>
      </c>
      <c r="J122" s="4">
        <f t="shared" si="6"/>
        <v>3.0429999999999993</v>
      </c>
      <c r="K122" s="9">
        <f t="shared" si="7"/>
        <v>0.58039290482548156</v>
      </c>
      <c r="L122" s="2" t="str">
        <f>IF(VLOOKUP(B122,Orders!$A:$D,4,FALSE())="Vrátená",INDEX({"Nevyhovujúca veľkosť";"Poškodený tovar pri doprave";"Produkt nezodpovedal popisu";"Zákazník zmenil názor";"Neskoré doručenie";"Chybný/vadný kus";"Duplicitná objednávka"},MOD(CODE(LEFT(A122,1))+LEN(A122),7)+1),"")</f>
        <v/>
      </c>
    </row>
    <row r="123" spans="1:12" x14ac:dyDescent="0.3">
      <c r="A123" s="5" t="s">
        <v>463</v>
      </c>
      <c r="B123" s="5" t="s">
        <v>115</v>
      </c>
      <c r="C123" s="5" t="s">
        <v>464</v>
      </c>
      <c r="D123" s="5">
        <v>3</v>
      </c>
      <c r="E123" s="7">
        <f>VLOOKUP(C123,Products!$A:$E,4,FALSE())</f>
        <v>14.99</v>
      </c>
      <c r="F123" s="10">
        <v>0.1</v>
      </c>
      <c r="G123" s="7">
        <f t="shared" si="4"/>
        <v>13.491</v>
      </c>
      <c r="H123" s="7">
        <f>VLOOKUP(C123,Products!$A:$E,5,FALSE())</f>
        <v>5.5</v>
      </c>
      <c r="I123" s="7">
        <f t="shared" si="5"/>
        <v>40.472999999999999</v>
      </c>
      <c r="J123" s="7">
        <f t="shared" si="6"/>
        <v>23.972999999999999</v>
      </c>
      <c r="K123" s="11">
        <f t="shared" si="7"/>
        <v>0.59232080646356833</v>
      </c>
      <c r="L123" s="5" t="str">
        <f>IF(VLOOKUP(B123,Orders!$A:$D,4,FALSE())="Vrátená",INDEX({"Nevyhovujúca veľkosť";"Poškodený tovar pri doprave";"Produkt nezodpovedal popisu";"Zákazník zmenil názor";"Neskoré doručenie";"Chybný/vadný kus";"Duplicitná objednávka"},MOD(CODE(LEFT(A123,1))+LEN(A123),7)+1),"")</f>
        <v/>
      </c>
    </row>
    <row r="124" spans="1:12" x14ac:dyDescent="0.3">
      <c r="A124" s="2" t="s">
        <v>465</v>
      </c>
      <c r="B124" s="2" t="s">
        <v>115</v>
      </c>
      <c r="C124" s="2" t="s">
        <v>324</v>
      </c>
      <c r="D124" s="2">
        <v>1</v>
      </c>
      <c r="E124" s="4">
        <f>VLOOKUP(C124,Products!$A:$E,4,FALSE())</f>
        <v>13.99</v>
      </c>
      <c r="F124" s="8">
        <v>0.05</v>
      </c>
      <c r="G124" s="4">
        <f t="shared" si="4"/>
        <v>13.2905</v>
      </c>
      <c r="H124" s="4">
        <f>VLOOKUP(C124,Products!$A:$E,5,FALSE())</f>
        <v>5</v>
      </c>
      <c r="I124" s="4">
        <f t="shared" si="5"/>
        <v>13.2905</v>
      </c>
      <c r="J124" s="4">
        <f t="shared" si="6"/>
        <v>8.2904999999999998</v>
      </c>
      <c r="K124" s="9">
        <f t="shared" si="7"/>
        <v>0.62379142996877468</v>
      </c>
      <c r="L124" s="2" t="str">
        <f>IF(VLOOKUP(B124,Orders!$A:$D,4,FALSE())="Vrátená",INDEX({"Nevyhovujúca veľkosť";"Poškodený tovar pri doprave";"Produkt nezodpovedal popisu";"Zákazník zmenil názor";"Neskoré doručenie";"Chybný/vadný kus";"Duplicitná objednávka"},MOD(CODE(LEFT(A124,1))+LEN(A124),7)+1),"")</f>
        <v/>
      </c>
    </row>
    <row r="125" spans="1:12" x14ac:dyDescent="0.3">
      <c r="A125" s="5" t="s">
        <v>466</v>
      </c>
      <c r="B125" s="5" t="s">
        <v>115</v>
      </c>
      <c r="C125" s="5" t="s">
        <v>300</v>
      </c>
      <c r="D125" s="5">
        <v>2</v>
      </c>
      <c r="E125" s="7">
        <f>VLOOKUP(C125,Products!$A:$E,4,FALSE())</f>
        <v>39.99</v>
      </c>
      <c r="F125" s="10">
        <v>0</v>
      </c>
      <c r="G125" s="7">
        <f t="shared" si="4"/>
        <v>39.99</v>
      </c>
      <c r="H125" s="7">
        <f>VLOOKUP(C125,Products!$A:$E,5,FALSE())</f>
        <v>17</v>
      </c>
      <c r="I125" s="7">
        <f t="shared" si="5"/>
        <v>79.98</v>
      </c>
      <c r="J125" s="7">
        <f t="shared" si="6"/>
        <v>45.980000000000004</v>
      </c>
      <c r="K125" s="11">
        <f t="shared" si="7"/>
        <v>0.57489372343085776</v>
      </c>
      <c r="L125" s="5" t="str">
        <f>IF(VLOOKUP(B125,Orders!$A:$D,4,FALSE())="Vrátená",INDEX({"Nevyhovujúca veľkosť";"Poškodený tovar pri doprave";"Produkt nezodpovedal popisu";"Zákazník zmenil názor";"Neskoré doručenie";"Chybný/vadný kus";"Duplicitná objednávka"},MOD(CODE(LEFT(A125,1))+LEN(A125),7)+1),"")</f>
        <v/>
      </c>
    </row>
    <row r="126" spans="1:12" x14ac:dyDescent="0.3">
      <c r="A126" s="2" t="s">
        <v>467</v>
      </c>
      <c r="B126" s="2" t="s">
        <v>117</v>
      </c>
      <c r="C126" s="2" t="s">
        <v>300</v>
      </c>
      <c r="D126" s="2">
        <v>1</v>
      </c>
      <c r="E126" s="4">
        <f>VLOOKUP(C126,Products!$A:$E,4,FALSE())</f>
        <v>39.99</v>
      </c>
      <c r="F126" s="8">
        <v>0.1</v>
      </c>
      <c r="G126" s="4">
        <f t="shared" si="4"/>
        <v>35.991</v>
      </c>
      <c r="H126" s="4">
        <f>VLOOKUP(C126,Products!$A:$E,5,FALSE())</f>
        <v>17</v>
      </c>
      <c r="I126" s="4">
        <f t="shared" si="5"/>
        <v>35.991</v>
      </c>
      <c r="J126" s="4">
        <f t="shared" si="6"/>
        <v>18.991</v>
      </c>
      <c r="K126" s="9">
        <f t="shared" si="7"/>
        <v>0.52765969270095303</v>
      </c>
      <c r="L126" s="2" t="str">
        <f>IF(VLOOKUP(B126,Orders!$A:$D,4,FALSE())="Vrátená",INDEX({"Nevyhovujúca veľkosť";"Poškodený tovar pri doprave";"Produkt nezodpovedal popisu";"Zákazník zmenil názor";"Neskoré doručenie";"Chybný/vadný kus";"Duplicitná objednávka"},MOD(CODE(LEFT(A126,1))+LEN(A126),7)+1),"")</f>
        <v/>
      </c>
    </row>
    <row r="127" spans="1:12" x14ac:dyDescent="0.3">
      <c r="A127" s="5" t="s">
        <v>468</v>
      </c>
      <c r="B127" s="5" t="s">
        <v>119</v>
      </c>
      <c r="C127" s="5" t="s">
        <v>442</v>
      </c>
      <c r="D127" s="5">
        <v>1</v>
      </c>
      <c r="E127" s="7">
        <f>VLOOKUP(C127,Products!$A:$E,4,FALSE())</f>
        <v>8.99</v>
      </c>
      <c r="F127" s="10">
        <v>0</v>
      </c>
      <c r="G127" s="7">
        <f t="shared" si="4"/>
        <v>8.99</v>
      </c>
      <c r="H127" s="7">
        <f>VLOOKUP(C127,Products!$A:$E,5,FALSE())</f>
        <v>3</v>
      </c>
      <c r="I127" s="7">
        <f t="shared" si="5"/>
        <v>8.99</v>
      </c>
      <c r="J127" s="7">
        <f t="shared" si="6"/>
        <v>5.99</v>
      </c>
      <c r="K127" s="11">
        <f t="shared" si="7"/>
        <v>0.66629588431590658</v>
      </c>
      <c r="L127" s="5" t="str">
        <f>IF(VLOOKUP(B127,Orders!$A:$D,4,FALSE())="Vrátená",INDEX({"Nevyhovujúca veľkosť";"Poškodený tovar pri doprave";"Produkt nezodpovedal popisu";"Zákazník zmenil názor";"Neskoré doručenie";"Chybný/vadný kus";"Duplicitná objednávka"},MOD(CODE(LEFT(A127,1))+LEN(A127),7)+1),"")</f>
        <v/>
      </c>
    </row>
    <row r="128" spans="1:12" x14ac:dyDescent="0.3">
      <c r="A128" s="2" t="s">
        <v>469</v>
      </c>
      <c r="B128" s="2" t="s">
        <v>120</v>
      </c>
      <c r="C128" s="2" t="s">
        <v>470</v>
      </c>
      <c r="D128" s="2">
        <v>2</v>
      </c>
      <c r="E128" s="4">
        <f>VLOOKUP(C128,Products!$A:$E,4,FALSE())</f>
        <v>44.99</v>
      </c>
      <c r="F128" s="8">
        <v>0</v>
      </c>
      <c r="G128" s="4">
        <f t="shared" si="4"/>
        <v>44.99</v>
      </c>
      <c r="H128" s="4">
        <f>VLOOKUP(C128,Products!$A:$E,5,FALSE())</f>
        <v>18</v>
      </c>
      <c r="I128" s="4">
        <f t="shared" si="5"/>
        <v>89.98</v>
      </c>
      <c r="J128" s="4">
        <f t="shared" si="6"/>
        <v>53.980000000000004</v>
      </c>
      <c r="K128" s="9">
        <f t="shared" si="7"/>
        <v>0.59991109135363418</v>
      </c>
      <c r="L128" s="2" t="str">
        <f>IF(VLOOKUP(B128,Orders!$A:$D,4,FALSE())="Vrátená",INDEX({"Nevyhovujúca veľkosť";"Poškodený tovar pri doprave";"Produkt nezodpovedal popisu";"Zákazník zmenil názor";"Neskoré doručenie";"Chybný/vadný kus";"Duplicitná objednávka"},MOD(CODE(LEFT(A128,1))+LEN(A128),7)+1),"")</f>
        <v/>
      </c>
    </row>
    <row r="129" spans="1:12" x14ac:dyDescent="0.3">
      <c r="A129" s="5" t="s">
        <v>471</v>
      </c>
      <c r="B129" s="5" t="s">
        <v>120</v>
      </c>
      <c r="C129" s="5" t="s">
        <v>302</v>
      </c>
      <c r="D129" s="5">
        <v>1</v>
      </c>
      <c r="E129" s="7">
        <f>VLOOKUP(C129,Products!$A:$E,4,FALSE())</f>
        <v>54.99</v>
      </c>
      <c r="F129" s="10">
        <v>0.1</v>
      </c>
      <c r="G129" s="7">
        <f t="shared" si="4"/>
        <v>49.491</v>
      </c>
      <c r="H129" s="7">
        <f>VLOOKUP(C129,Products!$A:$E,5,FALSE())</f>
        <v>22</v>
      </c>
      <c r="I129" s="7">
        <f t="shared" si="5"/>
        <v>49.491</v>
      </c>
      <c r="J129" s="7">
        <f t="shared" si="6"/>
        <v>27.491</v>
      </c>
      <c r="K129" s="11">
        <f t="shared" si="7"/>
        <v>0.55547473277969728</v>
      </c>
      <c r="L129" s="5" t="str">
        <f>IF(VLOOKUP(B129,Orders!$A:$D,4,FALSE())="Vrátená",INDEX({"Nevyhovujúca veľkosť";"Poškodený tovar pri doprave";"Produkt nezodpovedal popisu";"Zákazník zmenil názor";"Neskoré doručenie";"Chybný/vadný kus";"Duplicitná objednávka"},MOD(CODE(LEFT(A129,1))+LEN(A129),7)+1),"")</f>
        <v/>
      </c>
    </row>
    <row r="130" spans="1:12" x14ac:dyDescent="0.3">
      <c r="A130" s="2" t="s">
        <v>472</v>
      </c>
      <c r="B130" s="2" t="s">
        <v>120</v>
      </c>
      <c r="C130" s="2" t="s">
        <v>352</v>
      </c>
      <c r="D130" s="2">
        <v>1</v>
      </c>
      <c r="E130" s="4">
        <f>VLOOKUP(C130,Products!$A:$E,4,FALSE())</f>
        <v>189.99</v>
      </c>
      <c r="F130" s="8">
        <v>0</v>
      </c>
      <c r="G130" s="4">
        <f t="shared" ref="G130:G193" si="8">E130*(1-F130)</f>
        <v>189.99</v>
      </c>
      <c r="H130" s="4">
        <f>VLOOKUP(C130,Products!$A:$E,5,FALSE())</f>
        <v>110</v>
      </c>
      <c r="I130" s="4">
        <f t="shared" ref="I130:I193" si="9">D130*G130</f>
        <v>189.99</v>
      </c>
      <c r="J130" s="4">
        <f t="shared" ref="J130:J193" si="10">I130-(D130*H130)</f>
        <v>79.990000000000009</v>
      </c>
      <c r="K130" s="9">
        <f t="shared" ref="K130:K193" si="11">IFERROR(J130/I130,0)</f>
        <v>0.42102215906100326</v>
      </c>
      <c r="L130" s="2" t="str">
        <f>IF(VLOOKUP(B130,Orders!$A:$D,4,FALSE())="Vrátená",INDEX({"Nevyhovujúca veľkosť";"Poškodený tovar pri doprave";"Produkt nezodpovedal popisu";"Zákazník zmenil názor";"Neskoré doručenie";"Chybný/vadný kus";"Duplicitná objednávka"},MOD(CODE(LEFT(A130,1))+LEN(A130),7)+1),"")</f>
        <v/>
      </c>
    </row>
    <row r="131" spans="1:12" x14ac:dyDescent="0.3">
      <c r="A131" s="5" t="s">
        <v>473</v>
      </c>
      <c r="B131" s="5" t="s">
        <v>122</v>
      </c>
      <c r="C131" s="5" t="s">
        <v>345</v>
      </c>
      <c r="D131" s="5">
        <v>1</v>
      </c>
      <c r="E131" s="7">
        <f>VLOOKUP(C131,Products!$A:$E,4,FALSE())</f>
        <v>13.49</v>
      </c>
      <c r="F131" s="10">
        <v>0.15</v>
      </c>
      <c r="G131" s="7">
        <f t="shared" si="8"/>
        <v>11.4665</v>
      </c>
      <c r="H131" s="7">
        <f>VLOOKUP(C131,Products!$A:$E,5,FALSE())</f>
        <v>4.5</v>
      </c>
      <c r="I131" s="7">
        <f t="shared" si="9"/>
        <v>11.4665</v>
      </c>
      <c r="J131" s="7">
        <f t="shared" si="10"/>
        <v>6.9664999999999999</v>
      </c>
      <c r="K131" s="11">
        <f t="shared" si="11"/>
        <v>0.60755243535516501</v>
      </c>
      <c r="L131" s="5" t="str">
        <f>IF(VLOOKUP(B131,Orders!$A:$D,4,FALSE())="Vrátená",INDEX({"Nevyhovujúca veľkosť";"Poškodený tovar pri doprave";"Produkt nezodpovedal popisu";"Zákazník zmenil názor";"Neskoré doručenie";"Chybný/vadný kus";"Duplicitná objednávka"},MOD(CODE(LEFT(A131,1))+LEN(A131),7)+1),"")</f>
        <v/>
      </c>
    </row>
    <row r="132" spans="1:12" x14ac:dyDescent="0.3">
      <c r="A132" s="2" t="s">
        <v>474</v>
      </c>
      <c r="B132" s="2" t="s">
        <v>122</v>
      </c>
      <c r="C132" s="2" t="s">
        <v>398</v>
      </c>
      <c r="D132" s="2">
        <v>5</v>
      </c>
      <c r="E132" s="4">
        <f>VLOOKUP(C132,Products!$A:$E,4,FALSE())</f>
        <v>22.49</v>
      </c>
      <c r="F132" s="8">
        <v>0</v>
      </c>
      <c r="G132" s="4">
        <f t="shared" si="8"/>
        <v>22.49</v>
      </c>
      <c r="H132" s="4">
        <f>VLOOKUP(C132,Products!$A:$E,5,FALSE())</f>
        <v>8.5</v>
      </c>
      <c r="I132" s="4">
        <f t="shared" si="9"/>
        <v>112.44999999999999</v>
      </c>
      <c r="J132" s="4">
        <f t="shared" si="10"/>
        <v>69.949999999999989</v>
      </c>
      <c r="K132" s="9">
        <f t="shared" si="11"/>
        <v>0.62205424633170292</v>
      </c>
      <c r="L132" s="2" t="str">
        <f>IF(VLOOKUP(B132,Orders!$A:$D,4,FALSE())="Vrátená",INDEX({"Nevyhovujúca veľkosť";"Poškodený tovar pri doprave";"Produkt nezodpovedal popisu";"Zákazník zmenil názor";"Neskoré doručenie";"Chybný/vadný kus";"Duplicitná objednávka"},MOD(CODE(LEFT(A132,1))+LEN(A132),7)+1),"")</f>
        <v/>
      </c>
    </row>
    <row r="133" spans="1:12" x14ac:dyDescent="0.3">
      <c r="A133" s="5" t="s">
        <v>475</v>
      </c>
      <c r="B133" s="5" t="s">
        <v>124</v>
      </c>
      <c r="C133" s="5" t="s">
        <v>310</v>
      </c>
      <c r="D133" s="5">
        <v>1</v>
      </c>
      <c r="E133" s="7">
        <f>VLOOKUP(C133,Products!$A:$E,4,FALSE())</f>
        <v>34.99</v>
      </c>
      <c r="F133" s="10">
        <v>0.15</v>
      </c>
      <c r="G133" s="7">
        <f t="shared" si="8"/>
        <v>29.741500000000002</v>
      </c>
      <c r="H133" s="7">
        <f>VLOOKUP(C133,Products!$A:$E,5,FALSE())</f>
        <v>14</v>
      </c>
      <c r="I133" s="7">
        <f t="shared" si="9"/>
        <v>29.741500000000002</v>
      </c>
      <c r="J133" s="7">
        <f t="shared" si="10"/>
        <v>15.741500000000002</v>
      </c>
      <c r="K133" s="11">
        <f t="shared" si="11"/>
        <v>0.5292772724980247</v>
      </c>
      <c r="L133" s="5" t="str">
        <f>IF(VLOOKUP(B133,Orders!$A:$D,4,FALSE())="Vrátená",INDEX({"Nevyhovujúca veľkosť";"Poškodený tovar pri doprave";"Produkt nezodpovedal popisu";"Zákazník zmenil názor";"Neskoré doručenie";"Chybný/vadný kus";"Duplicitná objednávka"},MOD(CODE(LEFT(A133,1))+LEN(A133),7)+1),"")</f>
        <v/>
      </c>
    </row>
    <row r="134" spans="1:12" x14ac:dyDescent="0.3">
      <c r="A134" s="2" t="s">
        <v>476</v>
      </c>
      <c r="B134" s="2" t="s">
        <v>126</v>
      </c>
      <c r="C134" s="2" t="s">
        <v>435</v>
      </c>
      <c r="D134" s="2">
        <v>2</v>
      </c>
      <c r="E134" s="4">
        <f>VLOOKUP(C134,Products!$A:$E,4,FALSE())</f>
        <v>7.49</v>
      </c>
      <c r="F134" s="8">
        <v>0.05</v>
      </c>
      <c r="G134" s="4">
        <f t="shared" si="8"/>
        <v>7.1154999999999999</v>
      </c>
      <c r="H134" s="4">
        <f>VLOOKUP(C134,Products!$A:$E,5,FALSE())</f>
        <v>2.2000000000000002</v>
      </c>
      <c r="I134" s="4">
        <f t="shared" si="9"/>
        <v>14.231</v>
      </c>
      <c r="J134" s="4">
        <f t="shared" si="10"/>
        <v>9.8309999999999995</v>
      </c>
      <c r="K134" s="9">
        <f t="shared" si="11"/>
        <v>0.69081582460824953</v>
      </c>
      <c r="L134" s="2" t="str">
        <f>IF(VLOOKUP(B134,Orders!$A:$D,4,FALSE())="Vrátená",INDEX({"Nevyhovujúca veľkosť";"Poškodený tovar pri doprave";"Produkt nezodpovedal popisu";"Zákazník zmenil názor";"Neskoré doručenie";"Chybný/vadný kus";"Duplicitná objednávka"},MOD(CODE(LEFT(A134,1))+LEN(A134),7)+1),"")</f>
        <v/>
      </c>
    </row>
    <row r="135" spans="1:12" x14ac:dyDescent="0.3">
      <c r="A135" s="5" t="s">
        <v>477</v>
      </c>
      <c r="B135" s="5" t="s">
        <v>128</v>
      </c>
      <c r="C135" s="5" t="s">
        <v>334</v>
      </c>
      <c r="D135" s="5">
        <v>1</v>
      </c>
      <c r="E135" s="7">
        <f>VLOOKUP(C135,Products!$A:$E,4,FALSE())</f>
        <v>21.49</v>
      </c>
      <c r="F135" s="10">
        <v>0</v>
      </c>
      <c r="G135" s="7">
        <f t="shared" si="8"/>
        <v>21.49</v>
      </c>
      <c r="H135" s="7">
        <f>VLOOKUP(C135,Products!$A:$E,5,FALSE())</f>
        <v>8</v>
      </c>
      <c r="I135" s="7">
        <f t="shared" si="9"/>
        <v>21.49</v>
      </c>
      <c r="J135" s="7">
        <f t="shared" si="10"/>
        <v>13.489999999999998</v>
      </c>
      <c r="K135" s="11">
        <f t="shared" si="11"/>
        <v>0.62773382968822711</v>
      </c>
      <c r="L135" s="5" t="str">
        <f>IF(VLOOKUP(B135,Orders!$A:$D,4,FALSE())="Vrátená",INDEX({"Nevyhovujúca veľkosť";"Poškodený tovar pri doprave";"Produkt nezodpovedal popisu";"Zákazník zmenil názor";"Neskoré doručenie";"Chybný/vadný kus";"Duplicitná objednávka"},MOD(CODE(LEFT(A135,1))+LEN(A135),7)+1),"")</f>
        <v/>
      </c>
    </row>
    <row r="136" spans="1:12" x14ac:dyDescent="0.3">
      <c r="A136" s="2" t="s">
        <v>478</v>
      </c>
      <c r="B136" s="2" t="s">
        <v>129</v>
      </c>
      <c r="C136" s="2" t="s">
        <v>318</v>
      </c>
      <c r="D136" s="2">
        <v>3</v>
      </c>
      <c r="E136" s="4">
        <f>VLOOKUP(C136,Products!$A:$E,4,FALSE())</f>
        <v>29.99</v>
      </c>
      <c r="F136" s="8">
        <v>0.1</v>
      </c>
      <c r="G136" s="4">
        <f t="shared" si="8"/>
        <v>26.991</v>
      </c>
      <c r="H136" s="4">
        <f>VLOOKUP(C136,Products!$A:$E,5,FALSE())</f>
        <v>13</v>
      </c>
      <c r="I136" s="4">
        <f t="shared" si="9"/>
        <v>80.972999999999999</v>
      </c>
      <c r="J136" s="4">
        <f t="shared" si="10"/>
        <v>41.972999999999999</v>
      </c>
      <c r="K136" s="9">
        <f t="shared" si="11"/>
        <v>0.51835797117557703</v>
      </c>
      <c r="L136" s="2" t="str">
        <f>IF(VLOOKUP(B136,Orders!$A:$D,4,FALSE())="Vrátená",INDEX({"Nevyhovujúca veľkosť";"Poškodený tovar pri doprave";"Produkt nezodpovedal popisu";"Zákazník zmenil názor";"Neskoré doručenie";"Chybný/vadný kus";"Duplicitná objednávka"},MOD(CODE(LEFT(A136,1))+LEN(A136),7)+1),"")</f>
        <v/>
      </c>
    </row>
    <row r="137" spans="1:12" x14ac:dyDescent="0.3">
      <c r="A137" s="5" t="s">
        <v>479</v>
      </c>
      <c r="B137" s="5" t="s">
        <v>131</v>
      </c>
      <c r="C137" s="5" t="s">
        <v>372</v>
      </c>
      <c r="D137" s="5">
        <v>1</v>
      </c>
      <c r="E137" s="7">
        <f>VLOOKUP(C137,Products!$A:$E,4,FALSE())</f>
        <v>39.99</v>
      </c>
      <c r="F137" s="10">
        <v>0.05</v>
      </c>
      <c r="G137" s="7">
        <f t="shared" si="8"/>
        <v>37.990499999999997</v>
      </c>
      <c r="H137" s="7">
        <f>VLOOKUP(C137,Products!$A:$E,5,FALSE())</f>
        <v>17</v>
      </c>
      <c r="I137" s="7">
        <f t="shared" si="9"/>
        <v>37.990499999999997</v>
      </c>
      <c r="J137" s="7">
        <f t="shared" si="10"/>
        <v>20.990499999999997</v>
      </c>
      <c r="K137" s="11">
        <f t="shared" si="11"/>
        <v>0.55251970887458701</v>
      </c>
      <c r="L137" s="5" t="str">
        <f>IF(VLOOKUP(B137,Orders!$A:$D,4,FALSE())="Vrátená",INDEX({"Nevyhovujúca veľkosť";"Poškodený tovar pri doprave";"Produkt nezodpovedal popisu";"Zákazník zmenil názor";"Neskoré doručenie";"Chybný/vadný kus";"Duplicitná objednávka"},MOD(CODE(LEFT(A137,1))+LEN(A137),7)+1),"")</f>
        <v/>
      </c>
    </row>
    <row r="138" spans="1:12" x14ac:dyDescent="0.3">
      <c r="A138" s="2" t="s">
        <v>480</v>
      </c>
      <c r="B138" s="2" t="s">
        <v>132</v>
      </c>
      <c r="C138" s="2" t="s">
        <v>337</v>
      </c>
      <c r="D138" s="2">
        <v>1</v>
      </c>
      <c r="E138" s="4">
        <f>VLOOKUP(C138,Products!$A:$E,4,FALSE())</f>
        <v>17.989999999999998</v>
      </c>
      <c r="F138" s="8">
        <v>0.15</v>
      </c>
      <c r="G138" s="4">
        <f t="shared" si="8"/>
        <v>15.291499999999997</v>
      </c>
      <c r="H138" s="4">
        <f>VLOOKUP(C138,Products!$A:$E,5,FALSE())</f>
        <v>7</v>
      </c>
      <c r="I138" s="4">
        <f t="shared" si="9"/>
        <v>15.291499999999997</v>
      </c>
      <c r="J138" s="4">
        <f t="shared" si="10"/>
        <v>8.2914999999999974</v>
      </c>
      <c r="K138" s="9">
        <f t="shared" si="11"/>
        <v>0.54222934309910731</v>
      </c>
      <c r="L138" s="2" t="str">
        <f>IF(VLOOKUP(B138,Orders!$A:$D,4,FALSE())="Vrátená",INDEX({"Nevyhovujúca veľkosť";"Poškodený tovar pri doprave";"Produkt nezodpovedal popisu";"Zákazník zmenil názor";"Neskoré doručenie";"Chybný/vadný kus";"Duplicitná objednávka"},MOD(CODE(LEFT(A138,1))+LEN(A138),7)+1),"")</f>
        <v/>
      </c>
    </row>
    <row r="139" spans="1:12" x14ac:dyDescent="0.3">
      <c r="A139" s="5" t="s">
        <v>481</v>
      </c>
      <c r="B139" s="5" t="s">
        <v>132</v>
      </c>
      <c r="C139" s="5" t="s">
        <v>308</v>
      </c>
      <c r="D139" s="5">
        <v>3</v>
      </c>
      <c r="E139" s="7">
        <f>VLOOKUP(C139,Products!$A:$E,4,FALSE())</f>
        <v>22.49</v>
      </c>
      <c r="F139" s="10">
        <v>0</v>
      </c>
      <c r="G139" s="7">
        <f t="shared" si="8"/>
        <v>22.49</v>
      </c>
      <c r="H139" s="7">
        <f>VLOOKUP(C139,Products!$A:$E,5,FALSE())</f>
        <v>9</v>
      </c>
      <c r="I139" s="7">
        <f t="shared" si="9"/>
        <v>67.47</v>
      </c>
      <c r="J139" s="7">
        <f t="shared" si="10"/>
        <v>40.47</v>
      </c>
      <c r="K139" s="11">
        <f t="shared" si="11"/>
        <v>0.59982214317474436</v>
      </c>
      <c r="L139" s="5" t="str">
        <f>IF(VLOOKUP(B139,Orders!$A:$D,4,FALSE())="Vrátená",INDEX({"Nevyhovujúca veľkosť";"Poškodený tovar pri doprave";"Produkt nezodpovedal popisu";"Zákazník zmenil názor";"Neskoré doručenie";"Chybný/vadný kus";"Duplicitná objednávka"},MOD(CODE(LEFT(A139,1))+LEN(A139),7)+1),"")</f>
        <v/>
      </c>
    </row>
    <row r="140" spans="1:12" x14ac:dyDescent="0.3">
      <c r="A140" s="2" t="s">
        <v>482</v>
      </c>
      <c r="B140" s="2" t="s">
        <v>132</v>
      </c>
      <c r="C140" s="2" t="s">
        <v>442</v>
      </c>
      <c r="D140" s="2">
        <v>1</v>
      </c>
      <c r="E140" s="4">
        <f>VLOOKUP(C140,Products!$A:$E,4,FALSE())</f>
        <v>8.99</v>
      </c>
      <c r="F140" s="8">
        <v>0</v>
      </c>
      <c r="G140" s="4">
        <f t="shared" si="8"/>
        <v>8.99</v>
      </c>
      <c r="H140" s="4">
        <f>VLOOKUP(C140,Products!$A:$E,5,FALSE())</f>
        <v>3</v>
      </c>
      <c r="I140" s="4">
        <f t="shared" si="9"/>
        <v>8.99</v>
      </c>
      <c r="J140" s="4">
        <f t="shared" si="10"/>
        <v>5.99</v>
      </c>
      <c r="K140" s="9">
        <f t="shared" si="11"/>
        <v>0.66629588431590658</v>
      </c>
      <c r="L140" s="2" t="str">
        <f>IF(VLOOKUP(B140,Orders!$A:$D,4,FALSE())="Vrátená",INDEX({"Nevyhovujúca veľkosť";"Poškodený tovar pri doprave";"Produkt nezodpovedal popisu";"Zákazník zmenil názor";"Neskoré doručenie";"Chybný/vadný kus";"Duplicitná objednávka"},MOD(CODE(LEFT(A140,1))+LEN(A140),7)+1),"")</f>
        <v/>
      </c>
    </row>
    <row r="141" spans="1:12" x14ac:dyDescent="0.3">
      <c r="A141" s="5" t="s">
        <v>483</v>
      </c>
      <c r="B141" s="5" t="s">
        <v>133</v>
      </c>
      <c r="C141" s="5" t="s">
        <v>484</v>
      </c>
      <c r="D141" s="5">
        <v>3</v>
      </c>
      <c r="E141" s="7">
        <f>VLOOKUP(C141,Products!$A:$E,4,FALSE())</f>
        <v>19.989999999999998</v>
      </c>
      <c r="F141" s="10">
        <v>0</v>
      </c>
      <c r="G141" s="7">
        <f t="shared" si="8"/>
        <v>19.989999999999998</v>
      </c>
      <c r="H141" s="7">
        <f>VLOOKUP(C141,Products!$A:$E,5,FALSE())</f>
        <v>7</v>
      </c>
      <c r="I141" s="7">
        <f t="shared" si="9"/>
        <v>59.97</v>
      </c>
      <c r="J141" s="7">
        <f t="shared" si="10"/>
        <v>38.97</v>
      </c>
      <c r="K141" s="11">
        <f t="shared" si="11"/>
        <v>0.64982491245622809</v>
      </c>
      <c r="L141" s="5" t="str">
        <f>IF(VLOOKUP(B141,Orders!$A:$D,4,FALSE())="Vrátená",INDEX({"Nevyhovujúca veľkosť";"Poškodený tovar pri doprave";"Produkt nezodpovedal popisu";"Zákazník zmenil názor";"Neskoré doručenie";"Chybný/vadný kus";"Duplicitná objednávka"},MOD(CODE(LEFT(A141,1))+LEN(A141),7)+1),"")</f>
        <v/>
      </c>
    </row>
    <row r="142" spans="1:12" x14ac:dyDescent="0.3">
      <c r="A142" s="2" t="s">
        <v>485</v>
      </c>
      <c r="B142" s="2" t="s">
        <v>135</v>
      </c>
      <c r="C142" s="2" t="s">
        <v>302</v>
      </c>
      <c r="D142" s="2">
        <v>3</v>
      </c>
      <c r="E142" s="4">
        <f>VLOOKUP(C142,Products!$A:$E,4,FALSE())</f>
        <v>54.99</v>
      </c>
      <c r="F142" s="8">
        <v>0.05</v>
      </c>
      <c r="G142" s="4">
        <f t="shared" si="8"/>
        <v>52.240499999999997</v>
      </c>
      <c r="H142" s="4">
        <f>VLOOKUP(C142,Products!$A:$E,5,FALSE())</f>
        <v>22</v>
      </c>
      <c r="I142" s="4">
        <f t="shared" si="9"/>
        <v>156.72149999999999</v>
      </c>
      <c r="J142" s="4">
        <f t="shared" si="10"/>
        <v>90.721499999999992</v>
      </c>
      <c r="K142" s="9">
        <f t="shared" si="11"/>
        <v>0.57887079947550268</v>
      </c>
      <c r="L142" s="2" t="str">
        <f>IF(VLOOKUP(B142,Orders!$A:$D,4,FALSE())="Vrátená",INDEX({"Nevyhovujúca veľkosť";"Poškodený tovar pri doprave";"Produkt nezodpovedal popisu";"Zákazník zmenil názor";"Neskoré doručenie";"Chybný/vadný kus";"Duplicitná objednávka"},MOD(CODE(LEFT(A142,1))+LEN(A142),7)+1),"")</f>
        <v/>
      </c>
    </row>
    <row r="143" spans="1:12" x14ac:dyDescent="0.3">
      <c r="A143" s="5" t="s">
        <v>486</v>
      </c>
      <c r="B143" s="5" t="s">
        <v>135</v>
      </c>
      <c r="C143" s="5" t="s">
        <v>337</v>
      </c>
      <c r="D143" s="5">
        <v>1</v>
      </c>
      <c r="E143" s="7">
        <f>VLOOKUP(C143,Products!$A:$E,4,FALSE())</f>
        <v>17.989999999999998</v>
      </c>
      <c r="F143" s="10">
        <v>0</v>
      </c>
      <c r="G143" s="7">
        <f t="shared" si="8"/>
        <v>17.989999999999998</v>
      </c>
      <c r="H143" s="7">
        <f>VLOOKUP(C143,Products!$A:$E,5,FALSE())</f>
        <v>7</v>
      </c>
      <c r="I143" s="7">
        <f t="shared" si="9"/>
        <v>17.989999999999998</v>
      </c>
      <c r="J143" s="7">
        <f t="shared" si="10"/>
        <v>10.989999999999998</v>
      </c>
      <c r="K143" s="11">
        <f t="shared" si="11"/>
        <v>0.61089494163424118</v>
      </c>
      <c r="L143" s="5" t="str">
        <f>IF(VLOOKUP(B143,Orders!$A:$D,4,FALSE())="Vrátená",INDEX({"Nevyhovujúca veľkosť";"Poškodený tovar pri doprave";"Produkt nezodpovedal popisu";"Zákazník zmenil názor";"Neskoré doručenie";"Chybný/vadný kus";"Duplicitná objednávka"},MOD(CODE(LEFT(A143,1))+LEN(A143),7)+1),"")</f>
        <v/>
      </c>
    </row>
    <row r="144" spans="1:12" x14ac:dyDescent="0.3">
      <c r="A144" s="2" t="s">
        <v>487</v>
      </c>
      <c r="B144" s="2" t="s">
        <v>137</v>
      </c>
      <c r="C144" s="2" t="s">
        <v>461</v>
      </c>
      <c r="D144" s="2">
        <v>2</v>
      </c>
      <c r="E144" s="4">
        <f>VLOOKUP(C144,Products!$A:$E,4,FALSE())</f>
        <v>64.989999999999995</v>
      </c>
      <c r="F144" s="8">
        <v>0</v>
      </c>
      <c r="G144" s="4">
        <f t="shared" si="8"/>
        <v>64.989999999999995</v>
      </c>
      <c r="H144" s="4">
        <f>VLOOKUP(C144,Products!$A:$E,5,FALSE())</f>
        <v>32</v>
      </c>
      <c r="I144" s="4">
        <f t="shared" si="9"/>
        <v>129.97999999999999</v>
      </c>
      <c r="J144" s="4">
        <f t="shared" si="10"/>
        <v>65.97999999999999</v>
      </c>
      <c r="K144" s="9">
        <f t="shared" si="11"/>
        <v>0.50761655639329128</v>
      </c>
      <c r="L144" s="2" t="str">
        <f>IF(VLOOKUP(B144,Orders!$A:$D,4,FALSE())="Vrátená",INDEX({"Nevyhovujúca veľkosť";"Poškodený tovar pri doprave";"Produkt nezodpovedal popisu";"Zákazník zmenil názor";"Neskoré doručenie";"Chybný/vadný kus";"Duplicitná objednávka"},MOD(CODE(LEFT(A144,1))+LEN(A144),7)+1),"")</f>
        <v/>
      </c>
    </row>
    <row r="145" spans="1:12" x14ac:dyDescent="0.3">
      <c r="A145" s="5" t="s">
        <v>488</v>
      </c>
      <c r="B145" s="5" t="s">
        <v>138</v>
      </c>
      <c r="C145" s="5" t="s">
        <v>347</v>
      </c>
      <c r="D145" s="5">
        <v>1</v>
      </c>
      <c r="E145" s="7">
        <f>VLOOKUP(C145,Products!$A:$E,4,FALSE())</f>
        <v>18.989999999999998</v>
      </c>
      <c r="F145" s="10">
        <v>0</v>
      </c>
      <c r="G145" s="7">
        <f t="shared" si="8"/>
        <v>18.989999999999998</v>
      </c>
      <c r="H145" s="7">
        <f>VLOOKUP(C145,Products!$A:$E,5,FALSE())</f>
        <v>7.5</v>
      </c>
      <c r="I145" s="7">
        <f t="shared" si="9"/>
        <v>18.989999999999998</v>
      </c>
      <c r="J145" s="7">
        <f t="shared" si="10"/>
        <v>11.489999999999998</v>
      </c>
      <c r="K145" s="11">
        <f t="shared" si="11"/>
        <v>0.60505529225908372</v>
      </c>
      <c r="L145" s="5" t="str">
        <f>IF(VLOOKUP(B145,Orders!$A:$D,4,FALSE())="Vrátená",INDEX({"Nevyhovujúca veľkosť";"Poškodený tovar pri doprave";"Produkt nezodpovedal popisu";"Zákazník zmenil názor";"Neskoré doručenie";"Chybný/vadný kus";"Duplicitná objednávka"},MOD(CODE(LEFT(A145,1))+LEN(A145),7)+1),"")</f>
        <v/>
      </c>
    </row>
    <row r="146" spans="1:12" x14ac:dyDescent="0.3">
      <c r="A146" s="2" t="s">
        <v>489</v>
      </c>
      <c r="B146" s="2" t="s">
        <v>138</v>
      </c>
      <c r="C146" s="2" t="s">
        <v>372</v>
      </c>
      <c r="D146" s="2">
        <v>1</v>
      </c>
      <c r="E146" s="4">
        <f>VLOOKUP(C146,Products!$A:$E,4,FALSE())</f>
        <v>39.99</v>
      </c>
      <c r="F146" s="8">
        <v>0</v>
      </c>
      <c r="G146" s="4">
        <f t="shared" si="8"/>
        <v>39.99</v>
      </c>
      <c r="H146" s="4">
        <f>VLOOKUP(C146,Products!$A:$E,5,FALSE())</f>
        <v>17</v>
      </c>
      <c r="I146" s="4">
        <f t="shared" si="9"/>
        <v>39.99</v>
      </c>
      <c r="J146" s="4">
        <f t="shared" si="10"/>
        <v>22.990000000000002</v>
      </c>
      <c r="K146" s="9">
        <f t="shared" si="11"/>
        <v>0.57489372343085776</v>
      </c>
      <c r="L146" s="2" t="str">
        <f>IF(VLOOKUP(B146,Orders!$A:$D,4,FALSE())="Vrátená",INDEX({"Nevyhovujúca veľkosť";"Poškodený tovar pri doprave";"Produkt nezodpovedal popisu";"Zákazník zmenil názor";"Neskoré doručenie";"Chybný/vadný kus";"Duplicitná objednávka"},MOD(CODE(LEFT(A146,1))+LEN(A146),7)+1),"")</f>
        <v/>
      </c>
    </row>
    <row r="147" spans="1:12" x14ac:dyDescent="0.3">
      <c r="A147" s="5" t="s">
        <v>490</v>
      </c>
      <c r="B147" s="5" t="s">
        <v>139</v>
      </c>
      <c r="C147" s="5" t="s">
        <v>306</v>
      </c>
      <c r="D147" s="5">
        <v>1</v>
      </c>
      <c r="E147" s="7">
        <f>VLOOKUP(C147,Products!$A:$E,4,FALSE())</f>
        <v>34.99</v>
      </c>
      <c r="F147" s="10">
        <v>0.1</v>
      </c>
      <c r="G147" s="7">
        <f t="shared" si="8"/>
        <v>31.491000000000003</v>
      </c>
      <c r="H147" s="7">
        <f>VLOOKUP(C147,Products!$A:$E,5,FALSE())</f>
        <v>15</v>
      </c>
      <c r="I147" s="7">
        <f t="shared" si="9"/>
        <v>31.491000000000003</v>
      </c>
      <c r="J147" s="7">
        <f t="shared" si="10"/>
        <v>16.491000000000003</v>
      </c>
      <c r="K147" s="11">
        <f t="shared" si="11"/>
        <v>0.52367343050395354</v>
      </c>
      <c r="L147" s="5" t="str">
        <f>IF(VLOOKUP(B147,Orders!$A:$D,4,FALSE())="Vrátená",INDEX({"Nevyhovujúca veľkosť";"Poškodený tovar pri doprave";"Produkt nezodpovedal popisu";"Zákazník zmenil názor";"Neskoré doručenie";"Chybný/vadný kus";"Duplicitná objednávka"},MOD(CODE(LEFT(A147,1))+LEN(A147),7)+1),"")</f>
        <v/>
      </c>
    </row>
    <row r="148" spans="1:12" x14ac:dyDescent="0.3">
      <c r="A148" s="2" t="s">
        <v>491</v>
      </c>
      <c r="B148" s="2" t="s">
        <v>141</v>
      </c>
      <c r="C148" s="2" t="s">
        <v>492</v>
      </c>
      <c r="D148" s="2">
        <v>3</v>
      </c>
      <c r="E148" s="4">
        <f>VLOOKUP(C148,Products!$A:$E,4,FALSE())</f>
        <v>11.99</v>
      </c>
      <c r="F148" s="8">
        <v>0.3</v>
      </c>
      <c r="G148" s="4">
        <f t="shared" si="8"/>
        <v>8.3929999999999989</v>
      </c>
      <c r="H148" s="4">
        <f>VLOOKUP(C148,Products!$A:$E,5,FALSE())</f>
        <v>4</v>
      </c>
      <c r="I148" s="4">
        <f t="shared" si="9"/>
        <v>25.178999999999995</v>
      </c>
      <c r="J148" s="4">
        <f t="shared" si="10"/>
        <v>13.178999999999995</v>
      </c>
      <c r="K148" s="9">
        <f t="shared" si="11"/>
        <v>0.52341236744906461</v>
      </c>
      <c r="L148" s="2" t="str">
        <f>IF(VLOOKUP(B148,Orders!$A:$D,4,FALSE())="Vrátená",INDEX({"Nevyhovujúca veľkosť";"Poškodený tovar pri doprave";"Produkt nezodpovedal popisu";"Zákazník zmenil názor";"Neskoré doručenie";"Chybný/vadný kus";"Duplicitná objednávka"},MOD(CODE(LEFT(A148,1))+LEN(A148),7)+1),"")</f>
        <v/>
      </c>
    </row>
    <row r="149" spans="1:12" x14ac:dyDescent="0.3">
      <c r="A149" s="5" t="s">
        <v>493</v>
      </c>
      <c r="B149" s="5" t="s">
        <v>141</v>
      </c>
      <c r="C149" s="5" t="s">
        <v>306</v>
      </c>
      <c r="D149" s="5">
        <v>2</v>
      </c>
      <c r="E149" s="7">
        <f>VLOOKUP(C149,Products!$A:$E,4,FALSE())</f>
        <v>34.99</v>
      </c>
      <c r="F149" s="10">
        <v>0.15</v>
      </c>
      <c r="G149" s="7">
        <f t="shared" si="8"/>
        <v>29.741500000000002</v>
      </c>
      <c r="H149" s="7">
        <f>VLOOKUP(C149,Products!$A:$E,5,FALSE())</f>
        <v>15</v>
      </c>
      <c r="I149" s="7">
        <f t="shared" si="9"/>
        <v>59.483000000000004</v>
      </c>
      <c r="J149" s="7">
        <f t="shared" si="10"/>
        <v>29.483000000000004</v>
      </c>
      <c r="K149" s="11">
        <f t="shared" si="11"/>
        <v>0.49565422053359787</v>
      </c>
      <c r="L149" s="5" t="str">
        <f>IF(VLOOKUP(B149,Orders!$A:$D,4,FALSE())="Vrátená",INDEX({"Nevyhovujúca veľkosť";"Poškodený tovar pri doprave";"Produkt nezodpovedal popisu";"Zákazník zmenil názor";"Neskoré doručenie";"Chybný/vadný kus";"Duplicitná objednávka"},MOD(CODE(LEFT(A149,1))+LEN(A149),7)+1),"")</f>
        <v/>
      </c>
    </row>
    <row r="150" spans="1:12" x14ac:dyDescent="0.3">
      <c r="A150" s="2" t="s">
        <v>494</v>
      </c>
      <c r="B150" s="2" t="s">
        <v>141</v>
      </c>
      <c r="C150" s="2" t="s">
        <v>357</v>
      </c>
      <c r="D150" s="2">
        <v>1</v>
      </c>
      <c r="E150" s="4">
        <f>VLOOKUP(C150,Products!$A:$E,4,FALSE())</f>
        <v>13.99</v>
      </c>
      <c r="F150" s="8">
        <v>0.3</v>
      </c>
      <c r="G150" s="4">
        <f t="shared" si="8"/>
        <v>9.7929999999999993</v>
      </c>
      <c r="H150" s="4">
        <f>VLOOKUP(C150,Products!$A:$E,5,FALSE())</f>
        <v>5.5</v>
      </c>
      <c r="I150" s="4">
        <f t="shared" si="9"/>
        <v>9.7929999999999993</v>
      </c>
      <c r="J150" s="4">
        <f t="shared" si="10"/>
        <v>4.2929999999999993</v>
      </c>
      <c r="K150" s="9">
        <f t="shared" si="11"/>
        <v>0.43837434902481359</v>
      </c>
      <c r="L150" s="2" t="str">
        <f>IF(VLOOKUP(B150,Orders!$A:$D,4,FALSE())="Vrátená",INDEX({"Nevyhovujúca veľkosť";"Poškodený tovar pri doprave";"Produkt nezodpovedal popisu";"Zákazník zmenil názor";"Neskoré doručenie";"Chybný/vadný kus";"Duplicitná objednávka"},MOD(CODE(LEFT(A150,1))+LEN(A150),7)+1),"")</f>
        <v/>
      </c>
    </row>
    <row r="151" spans="1:12" x14ac:dyDescent="0.3">
      <c r="A151" s="5" t="s">
        <v>495</v>
      </c>
      <c r="B151" s="5" t="s">
        <v>142</v>
      </c>
      <c r="C151" s="5" t="s">
        <v>308</v>
      </c>
      <c r="D151" s="5">
        <v>3</v>
      </c>
      <c r="E151" s="7">
        <f>VLOOKUP(C151,Products!$A:$E,4,FALSE())</f>
        <v>22.49</v>
      </c>
      <c r="F151" s="10">
        <v>0.05</v>
      </c>
      <c r="G151" s="7">
        <f t="shared" si="8"/>
        <v>21.365499999999997</v>
      </c>
      <c r="H151" s="7">
        <f>VLOOKUP(C151,Products!$A:$E,5,FALSE())</f>
        <v>9</v>
      </c>
      <c r="I151" s="7">
        <f t="shared" si="9"/>
        <v>64.096499999999992</v>
      </c>
      <c r="J151" s="7">
        <f t="shared" si="10"/>
        <v>37.096499999999992</v>
      </c>
      <c r="K151" s="11">
        <f t="shared" si="11"/>
        <v>0.5787601507102571</v>
      </c>
      <c r="L151" s="5" t="str">
        <f>IF(VLOOKUP(B151,Orders!$A:$D,4,FALSE())="Vrátená",INDEX({"Nevyhovujúca veľkosť";"Poškodený tovar pri doprave";"Produkt nezodpovedal popisu";"Zákazník zmenil názor";"Neskoré doručenie";"Chybný/vadný kus";"Duplicitná objednávka"},MOD(CODE(LEFT(A151,1))+LEN(A151),7)+1),"")</f>
        <v/>
      </c>
    </row>
    <row r="152" spans="1:12" x14ac:dyDescent="0.3">
      <c r="A152" s="2" t="s">
        <v>496</v>
      </c>
      <c r="B152" s="2" t="s">
        <v>142</v>
      </c>
      <c r="C152" s="2" t="s">
        <v>304</v>
      </c>
      <c r="D152" s="2">
        <v>1</v>
      </c>
      <c r="E152" s="4">
        <f>VLOOKUP(C152,Products!$A:$E,4,FALSE())</f>
        <v>42.99</v>
      </c>
      <c r="F152" s="8">
        <v>0</v>
      </c>
      <c r="G152" s="4">
        <f t="shared" si="8"/>
        <v>42.99</v>
      </c>
      <c r="H152" s="4">
        <f>VLOOKUP(C152,Products!$A:$E,5,FALSE())</f>
        <v>19.5</v>
      </c>
      <c r="I152" s="4">
        <f t="shared" si="9"/>
        <v>42.99</v>
      </c>
      <c r="J152" s="4">
        <f t="shared" si="10"/>
        <v>23.490000000000002</v>
      </c>
      <c r="K152" s="9">
        <f t="shared" si="11"/>
        <v>0.54640614096301465</v>
      </c>
      <c r="L152" s="2" t="str">
        <f>IF(VLOOKUP(B152,Orders!$A:$D,4,FALSE())="Vrátená",INDEX({"Nevyhovujúca veľkosť";"Poškodený tovar pri doprave";"Produkt nezodpovedal popisu";"Zákazník zmenil názor";"Neskoré doručenie";"Chybný/vadný kus";"Duplicitná objednávka"},MOD(CODE(LEFT(A152,1))+LEN(A152),7)+1),"")</f>
        <v/>
      </c>
    </row>
    <row r="153" spans="1:12" x14ac:dyDescent="0.3">
      <c r="A153" s="5" t="s">
        <v>497</v>
      </c>
      <c r="B153" s="5" t="s">
        <v>144</v>
      </c>
      <c r="C153" s="5" t="s">
        <v>372</v>
      </c>
      <c r="D153" s="5">
        <v>2</v>
      </c>
      <c r="E153" s="7">
        <f>VLOOKUP(C153,Products!$A:$E,4,FALSE())</f>
        <v>39.99</v>
      </c>
      <c r="F153" s="10">
        <v>0.05</v>
      </c>
      <c r="G153" s="7">
        <f t="shared" si="8"/>
        <v>37.990499999999997</v>
      </c>
      <c r="H153" s="7">
        <f>VLOOKUP(C153,Products!$A:$E,5,FALSE())</f>
        <v>17</v>
      </c>
      <c r="I153" s="7">
        <f t="shared" si="9"/>
        <v>75.980999999999995</v>
      </c>
      <c r="J153" s="7">
        <f t="shared" si="10"/>
        <v>41.980999999999995</v>
      </c>
      <c r="K153" s="11">
        <f t="shared" si="11"/>
        <v>0.55251970887458701</v>
      </c>
      <c r="L153" s="5" t="str">
        <f>IF(VLOOKUP(B153,Orders!$A:$D,4,FALSE())="Vrátená",INDEX({"Nevyhovujúca veľkosť";"Poškodený tovar pri doprave";"Produkt nezodpovedal popisu";"Zákazník zmenil názor";"Neskoré doručenie";"Chybný/vadný kus";"Duplicitná objednávka"},MOD(CODE(LEFT(A153,1))+LEN(A153),7)+1),"")</f>
        <v/>
      </c>
    </row>
    <row r="154" spans="1:12" x14ac:dyDescent="0.3">
      <c r="A154" s="2" t="s">
        <v>498</v>
      </c>
      <c r="B154" s="2" t="s">
        <v>144</v>
      </c>
      <c r="C154" s="2" t="s">
        <v>328</v>
      </c>
      <c r="D154" s="2">
        <v>1</v>
      </c>
      <c r="E154" s="4">
        <f>VLOOKUP(C154,Products!$A:$E,4,FALSE())</f>
        <v>7.49</v>
      </c>
      <c r="F154" s="8">
        <v>0</v>
      </c>
      <c r="G154" s="4">
        <f t="shared" si="8"/>
        <v>7.49</v>
      </c>
      <c r="H154" s="4">
        <f>VLOOKUP(C154,Products!$A:$E,5,FALSE())</f>
        <v>2</v>
      </c>
      <c r="I154" s="4">
        <f t="shared" si="9"/>
        <v>7.49</v>
      </c>
      <c r="J154" s="4">
        <f t="shared" si="10"/>
        <v>5.49</v>
      </c>
      <c r="K154" s="9">
        <f t="shared" si="11"/>
        <v>0.73297730307076103</v>
      </c>
      <c r="L154" s="2" t="str">
        <f>IF(VLOOKUP(B154,Orders!$A:$D,4,FALSE())="Vrátená",INDEX({"Nevyhovujúca veľkosť";"Poškodený tovar pri doprave";"Produkt nezodpovedal popisu";"Zákazník zmenil názor";"Neskoré doručenie";"Chybný/vadný kus";"Duplicitná objednávka"},MOD(CODE(LEFT(A154,1))+LEN(A154),7)+1),"")</f>
        <v/>
      </c>
    </row>
    <row r="155" spans="1:12" x14ac:dyDescent="0.3">
      <c r="A155" s="5" t="s">
        <v>499</v>
      </c>
      <c r="B155" s="5" t="s">
        <v>146</v>
      </c>
      <c r="C155" s="5" t="s">
        <v>359</v>
      </c>
      <c r="D155" s="5">
        <v>3</v>
      </c>
      <c r="E155" s="7">
        <f>VLOOKUP(C155,Products!$A:$E,4,FALSE())</f>
        <v>16.989999999999998</v>
      </c>
      <c r="F155" s="10">
        <v>0</v>
      </c>
      <c r="G155" s="7">
        <f t="shared" si="8"/>
        <v>16.989999999999998</v>
      </c>
      <c r="H155" s="7">
        <f>VLOOKUP(C155,Products!$A:$E,5,FALSE())</f>
        <v>6</v>
      </c>
      <c r="I155" s="7">
        <f t="shared" si="9"/>
        <v>50.97</v>
      </c>
      <c r="J155" s="7">
        <f t="shared" si="10"/>
        <v>32.97</v>
      </c>
      <c r="K155" s="11">
        <f t="shared" si="11"/>
        <v>0.64685108887580933</v>
      </c>
      <c r="L155" s="5" t="str">
        <f>IF(VLOOKUP(B155,Orders!$A:$D,4,FALSE())="Vrátená",INDEX({"Nevyhovujúca veľkosť";"Poškodený tovar pri doprave";"Produkt nezodpovedal popisu";"Zákazník zmenil názor";"Neskoré doručenie";"Chybný/vadný kus";"Duplicitná objednávka"},MOD(CODE(LEFT(A155,1))+LEN(A155),7)+1),"")</f>
        <v/>
      </c>
    </row>
    <row r="156" spans="1:12" x14ac:dyDescent="0.3">
      <c r="A156" s="2" t="s">
        <v>500</v>
      </c>
      <c r="B156" s="2" t="s">
        <v>146</v>
      </c>
      <c r="C156" s="2" t="s">
        <v>501</v>
      </c>
      <c r="D156" s="2">
        <v>3</v>
      </c>
      <c r="E156" s="4">
        <f>VLOOKUP(C156,Products!$A:$E,4,FALSE())</f>
        <v>94.99</v>
      </c>
      <c r="F156" s="8">
        <v>0</v>
      </c>
      <c r="G156" s="4">
        <f t="shared" si="8"/>
        <v>94.99</v>
      </c>
      <c r="H156" s="4">
        <f>VLOOKUP(C156,Products!$A:$E,5,FALSE())</f>
        <v>42</v>
      </c>
      <c r="I156" s="4">
        <f t="shared" si="9"/>
        <v>284.96999999999997</v>
      </c>
      <c r="J156" s="4">
        <f t="shared" si="10"/>
        <v>158.96999999999997</v>
      </c>
      <c r="K156" s="9">
        <f t="shared" si="11"/>
        <v>0.55784819454679435</v>
      </c>
      <c r="L156" s="2" t="str">
        <f>IF(VLOOKUP(B156,Orders!$A:$D,4,FALSE())="Vrátená",INDEX({"Nevyhovujúca veľkosť";"Poškodený tovar pri doprave";"Produkt nezodpovedal popisu";"Zákazník zmenil názor";"Neskoré doručenie";"Chybný/vadný kus";"Duplicitná objednávka"},MOD(CODE(LEFT(A156,1))+LEN(A156),7)+1),"")</f>
        <v/>
      </c>
    </row>
    <row r="157" spans="1:12" x14ac:dyDescent="0.3">
      <c r="A157" s="5" t="s">
        <v>502</v>
      </c>
      <c r="B157" s="5" t="s">
        <v>146</v>
      </c>
      <c r="C157" s="5" t="s">
        <v>340</v>
      </c>
      <c r="D157" s="5">
        <v>3</v>
      </c>
      <c r="E157" s="7">
        <f>VLOOKUP(C157,Products!$A:$E,4,FALSE())</f>
        <v>44.99</v>
      </c>
      <c r="F157" s="10">
        <v>0.2</v>
      </c>
      <c r="G157" s="7">
        <f t="shared" si="8"/>
        <v>35.992000000000004</v>
      </c>
      <c r="H157" s="7">
        <f>VLOOKUP(C157,Products!$A:$E,5,FALSE())</f>
        <v>18</v>
      </c>
      <c r="I157" s="7">
        <f t="shared" si="9"/>
        <v>107.97600000000001</v>
      </c>
      <c r="J157" s="7">
        <f t="shared" si="10"/>
        <v>53.976000000000013</v>
      </c>
      <c r="K157" s="11">
        <f t="shared" si="11"/>
        <v>0.49988886419204276</v>
      </c>
      <c r="L157" s="5" t="str">
        <f>IF(VLOOKUP(B157,Orders!$A:$D,4,FALSE())="Vrátená",INDEX({"Nevyhovujúca veľkosť";"Poškodený tovar pri doprave";"Produkt nezodpovedal popisu";"Zákazník zmenil názor";"Neskoré doručenie";"Chybný/vadný kus";"Duplicitná objednávka"},MOD(CODE(LEFT(A157,1))+LEN(A157),7)+1),"")</f>
        <v/>
      </c>
    </row>
    <row r="158" spans="1:12" x14ac:dyDescent="0.3">
      <c r="A158" s="2" t="s">
        <v>503</v>
      </c>
      <c r="B158" s="2" t="s">
        <v>146</v>
      </c>
      <c r="C158" s="2" t="s">
        <v>310</v>
      </c>
      <c r="D158" s="2">
        <v>1</v>
      </c>
      <c r="E158" s="4">
        <f>VLOOKUP(C158,Products!$A:$E,4,FALSE())</f>
        <v>34.99</v>
      </c>
      <c r="F158" s="8">
        <v>0.05</v>
      </c>
      <c r="G158" s="4">
        <f t="shared" si="8"/>
        <v>33.240499999999997</v>
      </c>
      <c r="H158" s="4">
        <f>VLOOKUP(C158,Products!$A:$E,5,FALSE())</f>
        <v>14</v>
      </c>
      <c r="I158" s="4">
        <f t="shared" si="9"/>
        <v>33.240499999999997</v>
      </c>
      <c r="J158" s="4">
        <f t="shared" si="10"/>
        <v>19.240499999999997</v>
      </c>
      <c r="K158" s="9">
        <f t="shared" si="11"/>
        <v>0.57882703328770624</v>
      </c>
      <c r="L158" s="2" t="str">
        <f>IF(VLOOKUP(B158,Orders!$A:$D,4,FALSE())="Vrátená",INDEX({"Nevyhovujúca veľkosť";"Poškodený tovar pri doprave";"Produkt nezodpovedal popisu";"Zákazník zmenil názor";"Neskoré doručenie";"Chybný/vadný kus";"Duplicitná objednávka"},MOD(CODE(LEFT(A158,1))+LEN(A158),7)+1),"")</f>
        <v/>
      </c>
    </row>
    <row r="159" spans="1:12" x14ac:dyDescent="0.3">
      <c r="A159" s="5" t="s">
        <v>504</v>
      </c>
      <c r="B159" s="5" t="s">
        <v>147</v>
      </c>
      <c r="C159" s="5" t="s">
        <v>382</v>
      </c>
      <c r="D159" s="5">
        <v>1</v>
      </c>
      <c r="E159" s="7">
        <f>VLOOKUP(C159,Products!$A:$E,4,FALSE())</f>
        <v>6.99</v>
      </c>
      <c r="F159" s="10">
        <v>0.3</v>
      </c>
      <c r="G159" s="7">
        <f t="shared" si="8"/>
        <v>4.8929999999999998</v>
      </c>
      <c r="H159" s="7">
        <f>VLOOKUP(C159,Products!$A:$E,5,FALSE())</f>
        <v>2</v>
      </c>
      <c r="I159" s="7">
        <f t="shared" si="9"/>
        <v>4.8929999999999998</v>
      </c>
      <c r="J159" s="7">
        <f t="shared" si="10"/>
        <v>2.8929999999999998</v>
      </c>
      <c r="K159" s="11">
        <f t="shared" si="11"/>
        <v>0.59125281013693032</v>
      </c>
      <c r="L159" s="5" t="str">
        <f>IF(VLOOKUP(B159,Orders!$A:$D,4,FALSE())="Vrátená",INDEX({"Nevyhovujúca veľkosť";"Poškodený tovar pri doprave";"Produkt nezodpovedal popisu";"Zákazník zmenil názor";"Neskoré doručenie";"Chybný/vadný kus";"Duplicitná objednávka"},MOD(CODE(LEFT(A159,1))+LEN(A159),7)+1),"")</f>
        <v/>
      </c>
    </row>
    <row r="160" spans="1:12" x14ac:dyDescent="0.3">
      <c r="A160" s="2" t="s">
        <v>505</v>
      </c>
      <c r="B160" s="2" t="s">
        <v>149</v>
      </c>
      <c r="C160" s="2" t="s">
        <v>308</v>
      </c>
      <c r="D160" s="2">
        <v>1</v>
      </c>
      <c r="E160" s="4">
        <f>VLOOKUP(C160,Products!$A:$E,4,FALSE())</f>
        <v>22.49</v>
      </c>
      <c r="F160" s="8">
        <v>0.1</v>
      </c>
      <c r="G160" s="4">
        <f t="shared" si="8"/>
        <v>20.241</v>
      </c>
      <c r="H160" s="4">
        <f>VLOOKUP(C160,Products!$A:$E,5,FALSE())</f>
        <v>9</v>
      </c>
      <c r="I160" s="4">
        <f t="shared" si="9"/>
        <v>20.241</v>
      </c>
      <c r="J160" s="4">
        <f t="shared" si="10"/>
        <v>11.241</v>
      </c>
      <c r="K160" s="9">
        <f t="shared" si="11"/>
        <v>0.55535793686082702</v>
      </c>
      <c r="L160" s="2" t="str">
        <f>IF(VLOOKUP(B160,Orders!$A:$D,4,FALSE())="Vrátená",INDEX({"Nevyhovujúca veľkosť";"Poškodený tovar pri doprave";"Produkt nezodpovedal popisu";"Zákazník zmenil názor";"Neskoré doručenie";"Chybný/vadný kus";"Duplicitná objednávka"},MOD(CODE(LEFT(A160,1))+LEN(A160),7)+1),"")</f>
        <v/>
      </c>
    </row>
    <row r="161" spans="1:12" x14ac:dyDescent="0.3">
      <c r="A161" s="5" t="s">
        <v>506</v>
      </c>
      <c r="B161" s="5" t="s">
        <v>151</v>
      </c>
      <c r="C161" s="5" t="s">
        <v>349</v>
      </c>
      <c r="D161" s="5">
        <v>4</v>
      </c>
      <c r="E161" s="7">
        <f>VLOOKUP(C161,Products!$A:$E,4,FALSE())</f>
        <v>24.99</v>
      </c>
      <c r="F161" s="10">
        <v>0.1</v>
      </c>
      <c r="G161" s="7">
        <f t="shared" si="8"/>
        <v>22.491</v>
      </c>
      <c r="H161" s="7">
        <f>VLOOKUP(C161,Products!$A:$E,5,FALSE())</f>
        <v>10.5</v>
      </c>
      <c r="I161" s="7">
        <f t="shared" si="9"/>
        <v>89.963999999999999</v>
      </c>
      <c r="J161" s="7">
        <f t="shared" si="10"/>
        <v>47.963999999999999</v>
      </c>
      <c r="K161" s="11">
        <f t="shared" si="11"/>
        <v>0.53314659197012138</v>
      </c>
      <c r="L161" s="5" t="str">
        <f>IF(VLOOKUP(B161,Orders!$A:$D,4,FALSE())="Vrátená",INDEX({"Nevyhovujúca veľkosť";"Poškodený tovar pri doprave";"Produkt nezodpovedal popisu";"Zákazník zmenil názor";"Neskoré doručenie";"Chybný/vadný kus";"Duplicitná objednávka"},MOD(CODE(LEFT(A161,1))+LEN(A161),7)+1),"")</f>
        <v/>
      </c>
    </row>
    <row r="162" spans="1:12" x14ac:dyDescent="0.3">
      <c r="A162" s="2" t="s">
        <v>507</v>
      </c>
      <c r="B162" s="2" t="s">
        <v>151</v>
      </c>
      <c r="C162" s="2" t="s">
        <v>470</v>
      </c>
      <c r="D162" s="2">
        <v>2</v>
      </c>
      <c r="E162" s="4">
        <f>VLOOKUP(C162,Products!$A:$E,4,FALSE())</f>
        <v>44.99</v>
      </c>
      <c r="F162" s="8">
        <v>0</v>
      </c>
      <c r="G162" s="4">
        <f t="shared" si="8"/>
        <v>44.99</v>
      </c>
      <c r="H162" s="4">
        <f>VLOOKUP(C162,Products!$A:$E,5,FALSE())</f>
        <v>18</v>
      </c>
      <c r="I162" s="4">
        <f t="shared" si="9"/>
        <v>89.98</v>
      </c>
      <c r="J162" s="4">
        <f t="shared" si="10"/>
        <v>53.980000000000004</v>
      </c>
      <c r="K162" s="9">
        <f t="shared" si="11"/>
        <v>0.59991109135363418</v>
      </c>
      <c r="L162" s="2" t="str">
        <f>IF(VLOOKUP(B162,Orders!$A:$D,4,FALSE())="Vrátená",INDEX({"Nevyhovujúca veľkosť";"Poškodený tovar pri doprave";"Produkt nezodpovedal popisu";"Zákazník zmenil názor";"Neskoré doručenie";"Chybný/vadný kus";"Duplicitná objednávka"},MOD(CODE(LEFT(A162,1))+LEN(A162),7)+1),"")</f>
        <v/>
      </c>
    </row>
    <row r="163" spans="1:12" x14ac:dyDescent="0.3">
      <c r="A163" s="5" t="s">
        <v>508</v>
      </c>
      <c r="B163" s="5" t="s">
        <v>152</v>
      </c>
      <c r="C163" s="5" t="s">
        <v>306</v>
      </c>
      <c r="D163" s="5">
        <v>2</v>
      </c>
      <c r="E163" s="7">
        <f>VLOOKUP(C163,Products!$A:$E,4,FALSE())</f>
        <v>34.99</v>
      </c>
      <c r="F163" s="10">
        <v>0</v>
      </c>
      <c r="G163" s="7">
        <f t="shared" si="8"/>
        <v>34.99</v>
      </c>
      <c r="H163" s="7">
        <f>VLOOKUP(C163,Products!$A:$E,5,FALSE())</f>
        <v>15</v>
      </c>
      <c r="I163" s="7">
        <f t="shared" si="9"/>
        <v>69.98</v>
      </c>
      <c r="J163" s="7">
        <f t="shared" si="10"/>
        <v>39.980000000000004</v>
      </c>
      <c r="K163" s="11">
        <f t="shared" si="11"/>
        <v>0.57130608745355815</v>
      </c>
      <c r="L163" s="5" t="str">
        <f>IF(VLOOKUP(B163,Orders!$A:$D,4,FALSE())="Vrátená",INDEX({"Nevyhovujúca veľkosť";"Poškodený tovar pri doprave";"Produkt nezodpovedal popisu";"Zákazník zmenil názor";"Neskoré doručenie";"Chybný/vadný kus";"Duplicitná objednávka"},MOD(CODE(LEFT(A163,1))+LEN(A163),7)+1),"")</f>
        <v/>
      </c>
    </row>
    <row r="164" spans="1:12" x14ac:dyDescent="0.3">
      <c r="A164" s="2" t="s">
        <v>509</v>
      </c>
      <c r="B164" s="2" t="s">
        <v>152</v>
      </c>
      <c r="C164" s="2" t="s">
        <v>318</v>
      </c>
      <c r="D164" s="2">
        <v>1</v>
      </c>
      <c r="E164" s="4">
        <f>VLOOKUP(C164,Products!$A:$E,4,FALSE())</f>
        <v>29.99</v>
      </c>
      <c r="F164" s="8">
        <v>0.05</v>
      </c>
      <c r="G164" s="4">
        <f t="shared" si="8"/>
        <v>28.490499999999997</v>
      </c>
      <c r="H164" s="4">
        <f>VLOOKUP(C164,Products!$A:$E,5,FALSE())</f>
        <v>13</v>
      </c>
      <c r="I164" s="4">
        <f t="shared" si="9"/>
        <v>28.490499999999997</v>
      </c>
      <c r="J164" s="4">
        <f t="shared" si="10"/>
        <v>15.490499999999997</v>
      </c>
      <c r="K164" s="9">
        <f t="shared" si="11"/>
        <v>0.54370755164002027</v>
      </c>
      <c r="L164" s="2" t="str">
        <f>IF(VLOOKUP(B164,Orders!$A:$D,4,FALSE())="Vrátená",INDEX({"Nevyhovujúca veľkosť";"Poškodený tovar pri doprave";"Produkt nezodpovedal popisu";"Zákazník zmenil názor";"Neskoré doručenie";"Chybný/vadný kus";"Duplicitná objednávka"},MOD(CODE(LEFT(A164,1))+LEN(A164),7)+1),"")</f>
        <v/>
      </c>
    </row>
    <row r="165" spans="1:12" x14ac:dyDescent="0.3">
      <c r="A165" s="5" t="s">
        <v>510</v>
      </c>
      <c r="B165" s="5" t="s">
        <v>152</v>
      </c>
      <c r="C165" s="5" t="s">
        <v>308</v>
      </c>
      <c r="D165" s="5">
        <v>1</v>
      </c>
      <c r="E165" s="7">
        <f>VLOOKUP(C165,Products!$A:$E,4,FALSE())</f>
        <v>22.49</v>
      </c>
      <c r="F165" s="10">
        <v>0.05</v>
      </c>
      <c r="G165" s="7">
        <f t="shared" si="8"/>
        <v>21.365499999999997</v>
      </c>
      <c r="H165" s="7">
        <f>VLOOKUP(C165,Products!$A:$E,5,FALSE())</f>
        <v>9</v>
      </c>
      <c r="I165" s="7">
        <f t="shared" si="9"/>
        <v>21.365499999999997</v>
      </c>
      <c r="J165" s="7">
        <f t="shared" si="10"/>
        <v>12.365499999999997</v>
      </c>
      <c r="K165" s="11">
        <f t="shared" si="11"/>
        <v>0.5787601507102571</v>
      </c>
      <c r="L165" s="5" t="str">
        <f>IF(VLOOKUP(B165,Orders!$A:$D,4,FALSE())="Vrátená",INDEX({"Nevyhovujúca veľkosť";"Poškodený tovar pri doprave";"Produkt nezodpovedal popisu";"Zákazník zmenil názor";"Neskoré doručenie";"Chybný/vadný kus";"Duplicitná objednávka"},MOD(CODE(LEFT(A165,1))+LEN(A165),7)+1),"")</f>
        <v/>
      </c>
    </row>
    <row r="166" spans="1:12" x14ac:dyDescent="0.3">
      <c r="A166" s="2" t="s">
        <v>511</v>
      </c>
      <c r="B166" s="2" t="s">
        <v>154</v>
      </c>
      <c r="C166" s="2" t="s">
        <v>328</v>
      </c>
      <c r="D166" s="2">
        <v>2</v>
      </c>
      <c r="E166" s="4">
        <f>VLOOKUP(C166,Products!$A:$E,4,FALSE())</f>
        <v>7.49</v>
      </c>
      <c r="F166" s="8">
        <v>0</v>
      </c>
      <c r="G166" s="4">
        <f t="shared" si="8"/>
        <v>7.49</v>
      </c>
      <c r="H166" s="4">
        <f>VLOOKUP(C166,Products!$A:$E,5,FALSE())</f>
        <v>2</v>
      </c>
      <c r="I166" s="4">
        <f t="shared" si="9"/>
        <v>14.98</v>
      </c>
      <c r="J166" s="4">
        <f t="shared" si="10"/>
        <v>10.98</v>
      </c>
      <c r="K166" s="9">
        <f t="shared" si="11"/>
        <v>0.73297730307076103</v>
      </c>
      <c r="L166" s="2" t="str">
        <f>IF(VLOOKUP(B166,Orders!$A:$D,4,FALSE())="Vrátená",INDEX({"Nevyhovujúca veľkosť";"Poškodený tovar pri doprave";"Produkt nezodpovedal popisu";"Zákazník zmenil názor";"Neskoré doručenie";"Chybný/vadný kus";"Duplicitná objednávka"},MOD(CODE(LEFT(A166,1))+LEN(A166),7)+1),"")</f>
        <v/>
      </c>
    </row>
    <row r="167" spans="1:12" x14ac:dyDescent="0.3">
      <c r="A167" s="5" t="s">
        <v>512</v>
      </c>
      <c r="B167" s="5" t="s">
        <v>154</v>
      </c>
      <c r="C167" s="5" t="s">
        <v>382</v>
      </c>
      <c r="D167" s="5">
        <v>1</v>
      </c>
      <c r="E167" s="7">
        <f>VLOOKUP(C167,Products!$A:$E,4,FALSE())</f>
        <v>6.99</v>
      </c>
      <c r="F167" s="10">
        <v>0.2</v>
      </c>
      <c r="G167" s="7">
        <f t="shared" si="8"/>
        <v>5.5920000000000005</v>
      </c>
      <c r="H167" s="7">
        <f>VLOOKUP(C167,Products!$A:$E,5,FALSE())</f>
        <v>2</v>
      </c>
      <c r="I167" s="7">
        <f t="shared" si="9"/>
        <v>5.5920000000000005</v>
      </c>
      <c r="J167" s="7">
        <f t="shared" si="10"/>
        <v>3.5920000000000005</v>
      </c>
      <c r="K167" s="11">
        <f t="shared" si="11"/>
        <v>0.64234620886981408</v>
      </c>
      <c r="L167" s="5" t="str">
        <f>IF(VLOOKUP(B167,Orders!$A:$D,4,FALSE())="Vrátená",INDEX({"Nevyhovujúca veľkosť";"Poškodený tovar pri doprave";"Produkt nezodpovedal popisu";"Zákazník zmenil názor";"Neskoré doručenie";"Chybný/vadný kus";"Duplicitná objednávka"},MOD(CODE(LEFT(A167,1))+LEN(A167),7)+1),"")</f>
        <v/>
      </c>
    </row>
    <row r="168" spans="1:12" x14ac:dyDescent="0.3">
      <c r="A168" s="2" t="s">
        <v>513</v>
      </c>
      <c r="B168" s="2" t="s">
        <v>155</v>
      </c>
      <c r="C168" s="2" t="s">
        <v>470</v>
      </c>
      <c r="D168" s="2">
        <v>1</v>
      </c>
      <c r="E168" s="4">
        <f>VLOOKUP(C168,Products!$A:$E,4,FALSE())</f>
        <v>44.99</v>
      </c>
      <c r="F168" s="8">
        <v>0</v>
      </c>
      <c r="G168" s="4">
        <f t="shared" si="8"/>
        <v>44.99</v>
      </c>
      <c r="H168" s="4">
        <f>VLOOKUP(C168,Products!$A:$E,5,FALSE())</f>
        <v>18</v>
      </c>
      <c r="I168" s="4">
        <f t="shared" si="9"/>
        <v>44.99</v>
      </c>
      <c r="J168" s="4">
        <f t="shared" si="10"/>
        <v>26.990000000000002</v>
      </c>
      <c r="K168" s="9">
        <f t="shared" si="11"/>
        <v>0.59991109135363418</v>
      </c>
      <c r="L168" s="2" t="str">
        <f>IF(VLOOKUP(B168,Orders!$A:$D,4,FALSE())="Vrátená",INDEX({"Nevyhovujúca veľkosť";"Poškodený tovar pri doprave";"Produkt nezodpovedal popisu";"Zákazník zmenil názor";"Neskoré doručenie";"Chybný/vadný kus";"Duplicitná objednávka"},MOD(CODE(LEFT(A168,1))+LEN(A168),7)+1),"")</f>
        <v/>
      </c>
    </row>
    <row r="169" spans="1:12" x14ac:dyDescent="0.3">
      <c r="A169" s="5" t="s">
        <v>514</v>
      </c>
      <c r="B169" s="5" t="s">
        <v>155</v>
      </c>
      <c r="C169" s="5" t="s">
        <v>342</v>
      </c>
      <c r="D169" s="5">
        <v>1</v>
      </c>
      <c r="E169" s="7">
        <f>VLOOKUP(C169,Products!$A:$E,4,FALSE())</f>
        <v>29.99</v>
      </c>
      <c r="F169" s="10">
        <v>0.05</v>
      </c>
      <c r="G169" s="7">
        <f t="shared" si="8"/>
        <v>28.490499999999997</v>
      </c>
      <c r="H169" s="7">
        <f>VLOOKUP(C169,Products!$A:$E,5,FALSE())</f>
        <v>12.5</v>
      </c>
      <c r="I169" s="7">
        <f t="shared" si="9"/>
        <v>28.490499999999997</v>
      </c>
      <c r="J169" s="7">
        <f t="shared" si="10"/>
        <v>15.990499999999997</v>
      </c>
      <c r="K169" s="11">
        <f t="shared" si="11"/>
        <v>0.56125726119232722</v>
      </c>
      <c r="L169" s="5" t="str">
        <f>IF(VLOOKUP(B169,Orders!$A:$D,4,FALSE())="Vrátená",INDEX({"Nevyhovujúca veľkosť";"Poškodený tovar pri doprave";"Produkt nezodpovedal popisu";"Zákazník zmenil názor";"Neskoré doručenie";"Chybný/vadný kus";"Duplicitná objednávka"},MOD(CODE(LEFT(A169,1))+LEN(A169),7)+1),"")</f>
        <v/>
      </c>
    </row>
    <row r="170" spans="1:12" x14ac:dyDescent="0.3">
      <c r="A170" s="2" t="s">
        <v>515</v>
      </c>
      <c r="B170" s="2" t="s">
        <v>156</v>
      </c>
      <c r="C170" s="2" t="s">
        <v>428</v>
      </c>
      <c r="D170" s="2">
        <v>2</v>
      </c>
      <c r="E170" s="4">
        <f>VLOOKUP(C170,Products!$A:$E,4,FALSE())</f>
        <v>10.49</v>
      </c>
      <c r="F170" s="8">
        <v>0</v>
      </c>
      <c r="G170" s="4">
        <f t="shared" si="8"/>
        <v>10.49</v>
      </c>
      <c r="H170" s="4">
        <f>VLOOKUP(C170,Products!$A:$E,5,FALSE())</f>
        <v>3.5</v>
      </c>
      <c r="I170" s="4">
        <f t="shared" si="9"/>
        <v>20.98</v>
      </c>
      <c r="J170" s="4">
        <f t="shared" si="10"/>
        <v>13.98</v>
      </c>
      <c r="K170" s="9">
        <f t="shared" si="11"/>
        <v>0.66634890371782651</v>
      </c>
      <c r="L170" s="2" t="str">
        <f>IF(VLOOKUP(B170,Orders!$A:$D,4,FALSE())="Vrátená",INDEX({"Nevyhovujúca veľkosť";"Poškodený tovar pri doprave";"Produkt nezodpovedal popisu";"Zákazník zmenil názor";"Neskoré doručenie";"Chybný/vadný kus";"Duplicitná objednávka"},MOD(CODE(LEFT(A170,1))+LEN(A170),7)+1),"")</f>
        <v/>
      </c>
    </row>
    <row r="171" spans="1:12" x14ac:dyDescent="0.3">
      <c r="A171" s="5" t="s">
        <v>516</v>
      </c>
      <c r="B171" s="5" t="s">
        <v>157</v>
      </c>
      <c r="C171" s="5" t="s">
        <v>517</v>
      </c>
      <c r="D171" s="5">
        <v>1</v>
      </c>
      <c r="E171" s="7">
        <f>VLOOKUP(C171,Products!$A:$E,4,FALSE())</f>
        <v>26.49</v>
      </c>
      <c r="F171" s="10">
        <v>0.2</v>
      </c>
      <c r="G171" s="7">
        <f t="shared" si="8"/>
        <v>21.192</v>
      </c>
      <c r="H171" s="7">
        <f>VLOOKUP(C171,Products!$A:$E,5,FALSE())</f>
        <v>10.5</v>
      </c>
      <c r="I171" s="7">
        <f t="shared" si="9"/>
        <v>21.192</v>
      </c>
      <c r="J171" s="7">
        <f t="shared" si="10"/>
        <v>10.692</v>
      </c>
      <c r="K171" s="11">
        <f t="shared" si="11"/>
        <v>0.50453001132502828</v>
      </c>
      <c r="L171" s="5" t="str">
        <f>IF(VLOOKUP(B171,Orders!$A:$D,4,FALSE())="Vrátená",INDEX({"Nevyhovujúca veľkosť";"Poškodený tovar pri doprave";"Produkt nezodpovedal popisu";"Zákazník zmenil názor";"Neskoré doručenie";"Chybný/vadný kus";"Duplicitná objednávka"},MOD(CODE(LEFT(A171,1))+LEN(A171),7)+1),"")</f>
        <v/>
      </c>
    </row>
    <row r="172" spans="1:12" x14ac:dyDescent="0.3">
      <c r="A172" s="2" t="s">
        <v>518</v>
      </c>
      <c r="B172" s="2" t="s">
        <v>158</v>
      </c>
      <c r="C172" s="2" t="s">
        <v>352</v>
      </c>
      <c r="D172" s="2">
        <v>2</v>
      </c>
      <c r="E172" s="4">
        <f>VLOOKUP(C172,Products!$A:$E,4,FALSE())</f>
        <v>189.99</v>
      </c>
      <c r="F172" s="8">
        <v>0.05</v>
      </c>
      <c r="G172" s="4">
        <f t="shared" si="8"/>
        <v>180.4905</v>
      </c>
      <c r="H172" s="4">
        <f>VLOOKUP(C172,Products!$A:$E,5,FALSE())</f>
        <v>110</v>
      </c>
      <c r="I172" s="4">
        <f t="shared" si="9"/>
        <v>360.98099999999999</v>
      </c>
      <c r="J172" s="4">
        <f t="shared" si="10"/>
        <v>140.98099999999999</v>
      </c>
      <c r="K172" s="9">
        <f t="shared" si="11"/>
        <v>0.39054964111684548</v>
      </c>
      <c r="L172" s="2" t="str">
        <f>IF(VLOOKUP(B172,Orders!$A:$D,4,FALSE())="Vrátená",INDEX({"Nevyhovujúca veľkosť";"Poškodený tovar pri doprave";"Produkt nezodpovedal popisu";"Zákazník zmenil názor";"Neskoré doručenie";"Chybný/vadný kus";"Duplicitná objednávka"},MOD(CODE(LEFT(A172,1))+LEN(A172),7)+1),"")</f>
        <v/>
      </c>
    </row>
    <row r="173" spans="1:12" x14ac:dyDescent="0.3">
      <c r="A173" s="5" t="s">
        <v>519</v>
      </c>
      <c r="B173" s="5" t="s">
        <v>158</v>
      </c>
      <c r="C173" s="5" t="s">
        <v>398</v>
      </c>
      <c r="D173" s="5">
        <v>2</v>
      </c>
      <c r="E173" s="7">
        <f>VLOOKUP(C173,Products!$A:$E,4,FALSE())</f>
        <v>22.49</v>
      </c>
      <c r="F173" s="10">
        <v>0.15</v>
      </c>
      <c r="G173" s="7">
        <f t="shared" si="8"/>
        <v>19.116499999999998</v>
      </c>
      <c r="H173" s="7">
        <f>VLOOKUP(C173,Products!$A:$E,5,FALSE())</f>
        <v>8.5</v>
      </c>
      <c r="I173" s="7">
        <f t="shared" si="9"/>
        <v>38.232999999999997</v>
      </c>
      <c r="J173" s="7">
        <f t="shared" si="10"/>
        <v>21.232999999999997</v>
      </c>
      <c r="K173" s="11">
        <f t="shared" si="11"/>
        <v>0.55535793686082702</v>
      </c>
      <c r="L173" s="5" t="str">
        <f>IF(VLOOKUP(B173,Orders!$A:$D,4,FALSE())="Vrátená",INDEX({"Nevyhovujúca veľkosť";"Poškodený tovar pri doprave";"Produkt nezodpovedal popisu";"Zákazník zmenil názor";"Neskoré doručenie";"Chybný/vadný kus";"Duplicitná objednávka"},MOD(CODE(LEFT(A173,1))+LEN(A173),7)+1),"")</f>
        <v/>
      </c>
    </row>
    <row r="174" spans="1:12" x14ac:dyDescent="0.3">
      <c r="A174" s="2" t="s">
        <v>520</v>
      </c>
      <c r="B174" s="2" t="s">
        <v>158</v>
      </c>
      <c r="C174" s="2" t="s">
        <v>332</v>
      </c>
      <c r="D174" s="2">
        <v>1</v>
      </c>
      <c r="E174" s="4">
        <f>VLOOKUP(C174,Products!$A:$E,4,FALSE())</f>
        <v>14.99</v>
      </c>
      <c r="F174" s="8">
        <v>0</v>
      </c>
      <c r="G174" s="4">
        <f t="shared" si="8"/>
        <v>14.99</v>
      </c>
      <c r="H174" s="4">
        <f>VLOOKUP(C174,Products!$A:$E,5,FALSE())</f>
        <v>5</v>
      </c>
      <c r="I174" s="4">
        <f t="shared" si="9"/>
        <v>14.99</v>
      </c>
      <c r="J174" s="4">
        <f t="shared" si="10"/>
        <v>9.99</v>
      </c>
      <c r="K174" s="9">
        <f t="shared" si="11"/>
        <v>0.66644429619746504</v>
      </c>
      <c r="L174" s="2" t="str">
        <f>IF(VLOOKUP(B174,Orders!$A:$D,4,FALSE())="Vrátená",INDEX({"Nevyhovujúca veľkosť";"Poškodený tovar pri doprave";"Produkt nezodpovedal popisu";"Zákazník zmenil názor";"Neskoré doručenie";"Chybný/vadný kus";"Duplicitná objednávka"},MOD(CODE(LEFT(A174,1))+LEN(A174),7)+1),"")</f>
        <v/>
      </c>
    </row>
    <row r="175" spans="1:12" x14ac:dyDescent="0.3">
      <c r="A175" s="5" t="s">
        <v>521</v>
      </c>
      <c r="B175" s="5" t="s">
        <v>158</v>
      </c>
      <c r="C175" s="5" t="s">
        <v>428</v>
      </c>
      <c r="D175" s="5">
        <v>1</v>
      </c>
      <c r="E175" s="7">
        <f>VLOOKUP(C175,Products!$A:$E,4,FALSE())</f>
        <v>10.49</v>
      </c>
      <c r="F175" s="10">
        <v>0</v>
      </c>
      <c r="G175" s="7">
        <f t="shared" si="8"/>
        <v>10.49</v>
      </c>
      <c r="H175" s="7">
        <f>VLOOKUP(C175,Products!$A:$E,5,FALSE())</f>
        <v>3.5</v>
      </c>
      <c r="I175" s="7">
        <f t="shared" si="9"/>
        <v>10.49</v>
      </c>
      <c r="J175" s="7">
        <f t="shared" si="10"/>
        <v>6.99</v>
      </c>
      <c r="K175" s="11">
        <f t="shared" si="11"/>
        <v>0.66634890371782651</v>
      </c>
      <c r="L175" s="5" t="str">
        <f>IF(VLOOKUP(B175,Orders!$A:$D,4,FALSE())="Vrátená",INDEX({"Nevyhovujúca veľkosť";"Poškodený tovar pri doprave";"Produkt nezodpovedal popisu";"Zákazník zmenil názor";"Neskoré doručenie";"Chybný/vadný kus";"Duplicitná objednávka"},MOD(CODE(LEFT(A175,1))+LEN(A175),7)+1),"")</f>
        <v/>
      </c>
    </row>
    <row r="176" spans="1:12" x14ac:dyDescent="0.3">
      <c r="A176" s="2" t="s">
        <v>522</v>
      </c>
      <c r="B176" s="2" t="s">
        <v>159</v>
      </c>
      <c r="C176" s="2" t="s">
        <v>422</v>
      </c>
      <c r="D176" s="2">
        <v>2</v>
      </c>
      <c r="E176" s="4">
        <f>VLOOKUP(C176,Products!$A:$E,4,FALSE())</f>
        <v>49.99</v>
      </c>
      <c r="F176" s="8">
        <v>0</v>
      </c>
      <c r="G176" s="4">
        <f t="shared" si="8"/>
        <v>49.99</v>
      </c>
      <c r="H176" s="4">
        <f>VLOOKUP(C176,Products!$A:$E,5,FALSE())</f>
        <v>20</v>
      </c>
      <c r="I176" s="4">
        <f t="shared" si="9"/>
        <v>99.98</v>
      </c>
      <c r="J176" s="4">
        <f t="shared" si="10"/>
        <v>59.980000000000004</v>
      </c>
      <c r="K176" s="9">
        <f t="shared" si="11"/>
        <v>0.59991998399679936</v>
      </c>
      <c r="L176" s="2" t="str">
        <f>IF(VLOOKUP(B176,Orders!$A:$D,4,FALSE())="Vrátená",INDEX({"Nevyhovujúca veľkosť";"Poškodený tovar pri doprave";"Produkt nezodpovedal popisu";"Zákazník zmenil názor";"Neskoré doručenie";"Chybný/vadný kus";"Duplicitná objednávka"},MOD(CODE(LEFT(A176,1))+LEN(A176),7)+1),"")</f>
        <v/>
      </c>
    </row>
    <row r="177" spans="1:12" x14ac:dyDescent="0.3">
      <c r="A177" s="5" t="s">
        <v>523</v>
      </c>
      <c r="B177" s="5" t="s">
        <v>159</v>
      </c>
      <c r="C177" s="5" t="s">
        <v>322</v>
      </c>
      <c r="D177" s="5">
        <v>1</v>
      </c>
      <c r="E177" s="7">
        <f>VLOOKUP(C177,Products!$A:$E,4,FALSE())</f>
        <v>104.99</v>
      </c>
      <c r="F177" s="10">
        <v>0</v>
      </c>
      <c r="G177" s="7">
        <f t="shared" si="8"/>
        <v>104.99</v>
      </c>
      <c r="H177" s="7">
        <f>VLOOKUP(C177,Products!$A:$E,5,FALSE())</f>
        <v>55</v>
      </c>
      <c r="I177" s="7">
        <f t="shared" si="9"/>
        <v>104.99</v>
      </c>
      <c r="J177" s="7">
        <f t="shared" si="10"/>
        <v>49.989999999999995</v>
      </c>
      <c r="K177" s="11">
        <f t="shared" si="11"/>
        <v>0.47614058481760163</v>
      </c>
      <c r="L177" s="5" t="str">
        <f>IF(VLOOKUP(B177,Orders!$A:$D,4,FALSE())="Vrátená",INDEX({"Nevyhovujúca veľkosť";"Poškodený tovar pri doprave";"Produkt nezodpovedal popisu";"Zákazník zmenil názor";"Neskoré doručenie";"Chybný/vadný kus";"Duplicitná objednávka"},MOD(CODE(LEFT(A177,1))+LEN(A177),7)+1),"")</f>
        <v/>
      </c>
    </row>
    <row r="178" spans="1:12" x14ac:dyDescent="0.3">
      <c r="A178" s="2" t="s">
        <v>524</v>
      </c>
      <c r="B178" s="2" t="s">
        <v>161</v>
      </c>
      <c r="C178" s="2" t="s">
        <v>320</v>
      </c>
      <c r="D178" s="2">
        <v>2</v>
      </c>
      <c r="E178" s="4">
        <f>VLOOKUP(C178,Products!$A:$E,4,FALSE())</f>
        <v>29.99</v>
      </c>
      <c r="F178" s="8">
        <v>0</v>
      </c>
      <c r="G178" s="4">
        <f t="shared" si="8"/>
        <v>29.99</v>
      </c>
      <c r="H178" s="4">
        <f>VLOOKUP(C178,Products!$A:$E,5,FALSE())</f>
        <v>12</v>
      </c>
      <c r="I178" s="4">
        <f t="shared" si="9"/>
        <v>59.98</v>
      </c>
      <c r="J178" s="4">
        <f t="shared" si="10"/>
        <v>35.979999999999997</v>
      </c>
      <c r="K178" s="9">
        <f t="shared" si="11"/>
        <v>0.5998666222074025</v>
      </c>
      <c r="L178" s="2" t="str">
        <f>IF(VLOOKUP(B178,Orders!$A:$D,4,FALSE())="Vrátená",INDEX({"Nevyhovujúca veľkosť";"Poškodený tovar pri doprave";"Produkt nezodpovedal popisu";"Zákazník zmenil názor";"Neskoré doručenie";"Chybný/vadný kus";"Duplicitná objednávka"},MOD(CODE(LEFT(A178,1))+LEN(A178),7)+1),"")</f>
        <v/>
      </c>
    </row>
    <row r="179" spans="1:12" x14ac:dyDescent="0.3">
      <c r="A179" s="5" t="s">
        <v>525</v>
      </c>
      <c r="B179" s="5" t="s">
        <v>161</v>
      </c>
      <c r="C179" s="5" t="s">
        <v>300</v>
      </c>
      <c r="D179" s="5">
        <v>2</v>
      </c>
      <c r="E179" s="7">
        <f>VLOOKUP(C179,Products!$A:$E,4,FALSE())</f>
        <v>39.99</v>
      </c>
      <c r="F179" s="10">
        <v>0</v>
      </c>
      <c r="G179" s="7">
        <f t="shared" si="8"/>
        <v>39.99</v>
      </c>
      <c r="H179" s="7">
        <f>VLOOKUP(C179,Products!$A:$E,5,FALSE())</f>
        <v>17</v>
      </c>
      <c r="I179" s="7">
        <f t="shared" si="9"/>
        <v>79.98</v>
      </c>
      <c r="J179" s="7">
        <f t="shared" si="10"/>
        <v>45.980000000000004</v>
      </c>
      <c r="K179" s="11">
        <f t="shared" si="11"/>
        <v>0.57489372343085776</v>
      </c>
      <c r="L179" s="5" t="str">
        <f>IF(VLOOKUP(B179,Orders!$A:$D,4,FALSE())="Vrátená",INDEX({"Nevyhovujúca veľkosť";"Poškodený tovar pri doprave";"Produkt nezodpovedal popisu";"Zákazník zmenil názor";"Neskoré doručenie";"Chybný/vadný kus";"Duplicitná objednávka"},MOD(CODE(LEFT(A179,1))+LEN(A179),7)+1),"")</f>
        <v/>
      </c>
    </row>
    <row r="180" spans="1:12" x14ac:dyDescent="0.3">
      <c r="A180" s="2" t="s">
        <v>526</v>
      </c>
      <c r="B180" s="2" t="s">
        <v>162</v>
      </c>
      <c r="C180" s="2" t="s">
        <v>328</v>
      </c>
      <c r="D180" s="2">
        <v>1</v>
      </c>
      <c r="E180" s="4">
        <f>VLOOKUP(C180,Products!$A:$E,4,FALSE())</f>
        <v>7.49</v>
      </c>
      <c r="F180" s="8">
        <v>0.2</v>
      </c>
      <c r="G180" s="4">
        <f t="shared" si="8"/>
        <v>5.9920000000000009</v>
      </c>
      <c r="H180" s="4">
        <f>VLOOKUP(C180,Products!$A:$E,5,FALSE())</f>
        <v>2</v>
      </c>
      <c r="I180" s="4">
        <f t="shared" si="9"/>
        <v>5.9920000000000009</v>
      </c>
      <c r="J180" s="4">
        <f t="shared" si="10"/>
        <v>3.9920000000000009</v>
      </c>
      <c r="K180" s="9">
        <f t="shared" si="11"/>
        <v>0.66622162883845126</v>
      </c>
      <c r="L180" s="2" t="str">
        <f>IF(VLOOKUP(B180,Orders!$A:$D,4,FALSE())="Vrátená",INDEX({"Nevyhovujúca veľkosť";"Poškodený tovar pri doprave";"Produkt nezodpovedal popisu";"Zákazník zmenil názor";"Neskoré doručenie";"Chybný/vadný kus";"Duplicitná objednávka"},MOD(CODE(LEFT(A180,1))+LEN(A180),7)+1),"")</f>
        <v/>
      </c>
    </row>
    <row r="181" spans="1:12" x14ac:dyDescent="0.3">
      <c r="A181" s="5" t="s">
        <v>527</v>
      </c>
      <c r="B181" s="5" t="s">
        <v>162</v>
      </c>
      <c r="C181" s="5" t="s">
        <v>322</v>
      </c>
      <c r="D181" s="5">
        <v>3</v>
      </c>
      <c r="E181" s="7">
        <f>VLOOKUP(C181,Products!$A:$E,4,FALSE())</f>
        <v>104.99</v>
      </c>
      <c r="F181" s="10">
        <v>0</v>
      </c>
      <c r="G181" s="7">
        <f t="shared" si="8"/>
        <v>104.99</v>
      </c>
      <c r="H181" s="7">
        <f>VLOOKUP(C181,Products!$A:$E,5,FALSE())</f>
        <v>55</v>
      </c>
      <c r="I181" s="7">
        <f t="shared" si="9"/>
        <v>314.96999999999997</v>
      </c>
      <c r="J181" s="7">
        <f t="shared" si="10"/>
        <v>149.96999999999997</v>
      </c>
      <c r="K181" s="11">
        <f t="shared" si="11"/>
        <v>0.47614058481760163</v>
      </c>
      <c r="L181" s="5" t="str">
        <f>IF(VLOOKUP(B181,Orders!$A:$D,4,FALSE())="Vrátená",INDEX({"Nevyhovujúca veľkosť";"Poškodený tovar pri doprave";"Produkt nezodpovedal popisu";"Zákazník zmenil názor";"Neskoré doručenie";"Chybný/vadný kus";"Duplicitná objednávka"},MOD(CODE(LEFT(A181,1))+LEN(A181),7)+1),"")</f>
        <v/>
      </c>
    </row>
    <row r="182" spans="1:12" x14ac:dyDescent="0.3">
      <c r="A182" s="2" t="s">
        <v>528</v>
      </c>
      <c r="B182" s="2" t="s">
        <v>162</v>
      </c>
      <c r="C182" s="2" t="s">
        <v>334</v>
      </c>
      <c r="D182" s="2">
        <v>1</v>
      </c>
      <c r="E182" s="4">
        <f>VLOOKUP(C182,Products!$A:$E,4,FALSE())</f>
        <v>21.49</v>
      </c>
      <c r="F182" s="8">
        <v>0.2</v>
      </c>
      <c r="G182" s="4">
        <f t="shared" si="8"/>
        <v>17.192</v>
      </c>
      <c r="H182" s="4">
        <f>VLOOKUP(C182,Products!$A:$E,5,FALSE())</f>
        <v>8</v>
      </c>
      <c r="I182" s="4">
        <f t="shared" si="9"/>
        <v>17.192</v>
      </c>
      <c r="J182" s="4">
        <f t="shared" si="10"/>
        <v>9.1920000000000002</v>
      </c>
      <c r="K182" s="9">
        <f t="shared" si="11"/>
        <v>0.53466728711028388</v>
      </c>
      <c r="L182" s="2" t="str">
        <f>IF(VLOOKUP(B182,Orders!$A:$D,4,FALSE())="Vrátená",INDEX({"Nevyhovujúca veľkosť";"Poškodený tovar pri doprave";"Produkt nezodpovedal popisu";"Zákazník zmenil názor";"Neskoré doručenie";"Chybný/vadný kus";"Duplicitná objednávka"},MOD(CODE(LEFT(A182,1))+LEN(A182),7)+1),"")</f>
        <v/>
      </c>
    </row>
    <row r="183" spans="1:12" x14ac:dyDescent="0.3">
      <c r="A183" s="5" t="s">
        <v>529</v>
      </c>
      <c r="B183" s="5" t="s">
        <v>162</v>
      </c>
      <c r="C183" s="5" t="s">
        <v>461</v>
      </c>
      <c r="D183" s="5">
        <v>1</v>
      </c>
      <c r="E183" s="7">
        <f>VLOOKUP(C183,Products!$A:$E,4,FALSE())</f>
        <v>64.989999999999995</v>
      </c>
      <c r="F183" s="10">
        <v>0</v>
      </c>
      <c r="G183" s="7">
        <f t="shared" si="8"/>
        <v>64.989999999999995</v>
      </c>
      <c r="H183" s="7">
        <f>VLOOKUP(C183,Products!$A:$E,5,FALSE())</f>
        <v>32</v>
      </c>
      <c r="I183" s="7">
        <f t="shared" si="9"/>
        <v>64.989999999999995</v>
      </c>
      <c r="J183" s="7">
        <f t="shared" si="10"/>
        <v>32.989999999999995</v>
      </c>
      <c r="K183" s="11">
        <f t="shared" si="11"/>
        <v>0.50761655639329128</v>
      </c>
      <c r="L183" s="5" t="str">
        <f>IF(VLOOKUP(B183,Orders!$A:$D,4,FALSE())="Vrátená",INDEX({"Nevyhovujúca veľkosť";"Poškodený tovar pri doprave";"Produkt nezodpovedal popisu";"Zákazník zmenil názor";"Neskoré doručenie";"Chybný/vadný kus";"Duplicitná objednávka"},MOD(CODE(LEFT(A183,1))+LEN(A183),7)+1),"")</f>
        <v/>
      </c>
    </row>
    <row r="184" spans="1:12" x14ac:dyDescent="0.3">
      <c r="A184" s="2" t="s">
        <v>530</v>
      </c>
      <c r="B184" s="2" t="s">
        <v>163</v>
      </c>
      <c r="C184" s="2" t="s">
        <v>320</v>
      </c>
      <c r="D184" s="2">
        <v>3</v>
      </c>
      <c r="E184" s="4">
        <f>VLOOKUP(C184,Products!$A:$E,4,FALSE())</f>
        <v>29.99</v>
      </c>
      <c r="F184" s="8">
        <v>0.05</v>
      </c>
      <c r="G184" s="4">
        <f t="shared" si="8"/>
        <v>28.490499999999997</v>
      </c>
      <c r="H184" s="4">
        <f>VLOOKUP(C184,Products!$A:$E,5,FALSE())</f>
        <v>12</v>
      </c>
      <c r="I184" s="4">
        <f t="shared" si="9"/>
        <v>85.471499999999992</v>
      </c>
      <c r="J184" s="4">
        <f t="shared" si="10"/>
        <v>49.471499999999992</v>
      </c>
      <c r="K184" s="9">
        <f t="shared" si="11"/>
        <v>0.57880697074463416</v>
      </c>
      <c r="L184" s="2" t="str">
        <f>IF(VLOOKUP(B184,Orders!$A:$D,4,FALSE())="Vrátená",INDEX({"Nevyhovujúca veľkosť";"Poškodený tovar pri doprave";"Produkt nezodpovedal popisu";"Zákazník zmenil názor";"Neskoré doručenie";"Chybný/vadný kus";"Duplicitná objednávka"},MOD(CODE(LEFT(A184,1))+LEN(A184),7)+1),"")</f>
        <v/>
      </c>
    </row>
    <row r="185" spans="1:12" x14ac:dyDescent="0.3">
      <c r="A185" s="5" t="s">
        <v>531</v>
      </c>
      <c r="B185" s="5" t="s">
        <v>163</v>
      </c>
      <c r="C185" s="5" t="s">
        <v>470</v>
      </c>
      <c r="D185" s="5">
        <v>1</v>
      </c>
      <c r="E185" s="7">
        <f>VLOOKUP(C185,Products!$A:$E,4,FALSE())</f>
        <v>44.99</v>
      </c>
      <c r="F185" s="10">
        <v>0.05</v>
      </c>
      <c r="G185" s="7">
        <f t="shared" si="8"/>
        <v>42.740499999999997</v>
      </c>
      <c r="H185" s="7">
        <f>VLOOKUP(C185,Products!$A:$E,5,FALSE())</f>
        <v>18</v>
      </c>
      <c r="I185" s="7">
        <f t="shared" si="9"/>
        <v>42.740499999999997</v>
      </c>
      <c r="J185" s="7">
        <f t="shared" si="10"/>
        <v>24.740499999999997</v>
      </c>
      <c r="K185" s="11">
        <f t="shared" si="11"/>
        <v>0.57885378037224644</v>
      </c>
      <c r="L185" s="5" t="str">
        <f>IF(VLOOKUP(B185,Orders!$A:$D,4,FALSE())="Vrátená",INDEX({"Nevyhovujúca veľkosť";"Poškodený tovar pri doprave";"Produkt nezodpovedal popisu";"Zákazník zmenil názor";"Neskoré doručenie";"Chybný/vadný kus";"Duplicitná objednávka"},MOD(CODE(LEFT(A185,1))+LEN(A185),7)+1),"")</f>
        <v/>
      </c>
    </row>
    <row r="186" spans="1:12" x14ac:dyDescent="0.3">
      <c r="A186" s="2" t="s">
        <v>532</v>
      </c>
      <c r="B186" s="2" t="s">
        <v>165</v>
      </c>
      <c r="C186" s="2" t="s">
        <v>378</v>
      </c>
      <c r="D186" s="2">
        <v>3</v>
      </c>
      <c r="E186" s="4">
        <f>VLOOKUP(C186,Products!$A:$E,4,FALSE())</f>
        <v>37.49</v>
      </c>
      <c r="F186" s="8">
        <v>0</v>
      </c>
      <c r="G186" s="4">
        <f t="shared" si="8"/>
        <v>37.49</v>
      </c>
      <c r="H186" s="4">
        <f>VLOOKUP(C186,Products!$A:$E,5,FALSE())</f>
        <v>15</v>
      </c>
      <c r="I186" s="4">
        <f t="shared" si="9"/>
        <v>112.47</v>
      </c>
      <c r="J186" s="4">
        <f t="shared" si="10"/>
        <v>67.47</v>
      </c>
      <c r="K186" s="9">
        <f t="shared" si="11"/>
        <v>0.59989330488130166</v>
      </c>
      <c r="L186" s="2" t="str">
        <f>IF(VLOOKUP(B186,Orders!$A:$D,4,FALSE())="Vrátená",INDEX({"Nevyhovujúca veľkosť";"Poškodený tovar pri doprave";"Produkt nezodpovedal popisu";"Zákazník zmenil názor";"Neskoré doručenie";"Chybný/vadný kus";"Duplicitná objednávka"},MOD(CODE(LEFT(A186,1))+LEN(A186),7)+1),"")</f>
        <v>Produkt nezodpovedal popisu</v>
      </c>
    </row>
    <row r="187" spans="1:12" x14ac:dyDescent="0.3">
      <c r="A187" s="5" t="s">
        <v>533</v>
      </c>
      <c r="B187" s="5" t="s">
        <v>166</v>
      </c>
      <c r="C187" s="5" t="s">
        <v>357</v>
      </c>
      <c r="D187" s="5">
        <v>1</v>
      </c>
      <c r="E187" s="7">
        <f>VLOOKUP(C187,Products!$A:$E,4,FALSE())</f>
        <v>13.99</v>
      </c>
      <c r="F187" s="10">
        <v>0.05</v>
      </c>
      <c r="G187" s="7">
        <f t="shared" si="8"/>
        <v>13.2905</v>
      </c>
      <c r="H187" s="7">
        <f>VLOOKUP(C187,Products!$A:$E,5,FALSE())</f>
        <v>5.5</v>
      </c>
      <c r="I187" s="7">
        <f t="shared" si="9"/>
        <v>13.2905</v>
      </c>
      <c r="J187" s="7">
        <f t="shared" si="10"/>
        <v>7.7904999999999998</v>
      </c>
      <c r="K187" s="11">
        <f t="shared" si="11"/>
        <v>0.58617057296565211</v>
      </c>
      <c r="L187" s="5" t="str">
        <f>IF(VLOOKUP(B187,Orders!$A:$D,4,FALSE())="Vrátená",INDEX({"Nevyhovujúca veľkosť";"Poškodený tovar pri doprave";"Produkt nezodpovedal popisu";"Zákazník zmenil názor";"Neskoré doručenie";"Chybný/vadný kus";"Duplicitná objednávka"},MOD(CODE(LEFT(A187,1))+LEN(A187),7)+1),"")</f>
        <v/>
      </c>
    </row>
    <row r="188" spans="1:12" x14ac:dyDescent="0.3">
      <c r="A188" s="2" t="s">
        <v>534</v>
      </c>
      <c r="B188" s="2" t="s">
        <v>167</v>
      </c>
      <c r="C188" s="2" t="s">
        <v>306</v>
      </c>
      <c r="D188" s="2">
        <v>2</v>
      </c>
      <c r="E188" s="4">
        <f>VLOOKUP(C188,Products!$A:$E,4,FALSE())</f>
        <v>34.99</v>
      </c>
      <c r="F188" s="8">
        <v>0.05</v>
      </c>
      <c r="G188" s="4">
        <f t="shared" si="8"/>
        <v>33.240499999999997</v>
      </c>
      <c r="H188" s="4">
        <f>VLOOKUP(C188,Products!$A:$E,5,FALSE())</f>
        <v>15</v>
      </c>
      <c r="I188" s="4">
        <f t="shared" si="9"/>
        <v>66.480999999999995</v>
      </c>
      <c r="J188" s="4">
        <f t="shared" si="10"/>
        <v>36.480999999999995</v>
      </c>
      <c r="K188" s="9">
        <f t="shared" si="11"/>
        <v>0.54874324995111379</v>
      </c>
      <c r="L188" s="2" t="str">
        <f>IF(VLOOKUP(B188,Orders!$A:$D,4,FALSE())="Vrátená",INDEX({"Nevyhovujúca veľkosť";"Poškodený tovar pri doprave";"Produkt nezodpovedal popisu";"Zákazník zmenil názor";"Neskoré doručenie";"Chybný/vadný kus";"Duplicitná objednávka"},MOD(CODE(LEFT(A188,1))+LEN(A188),7)+1),"")</f>
        <v/>
      </c>
    </row>
    <row r="189" spans="1:12" x14ac:dyDescent="0.3">
      <c r="A189" s="5" t="s">
        <v>535</v>
      </c>
      <c r="B189" s="5" t="s">
        <v>168</v>
      </c>
      <c r="C189" s="5" t="s">
        <v>332</v>
      </c>
      <c r="D189" s="5">
        <v>1</v>
      </c>
      <c r="E189" s="7">
        <f>VLOOKUP(C189,Products!$A:$E,4,FALSE())</f>
        <v>14.99</v>
      </c>
      <c r="F189" s="10">
        <v>0.15</v>
      </c>
      <c r="G189" s="7">
        <f t="shared" si="8"/>
        <v>12.7415</v>
      </c>
      <c r="H189" s="7">
        <f>VLOOKUP(C189,Products!$A:$E,5,FALSE())</f>
        <v>5</v>
      </c>
      <c r="I189" s="7">
        <f t="shared" si="9"/>
        <v>12.7415</v>
      </c>
      <c r="J189" s="7">
        <f t="shared" si="10"/>
        <v>7.7415000000000003</v>
      </c>
      <c r="K189" s="11">
        <f t="shared" si="11"/>
        <v>0.60758152493819406</v>
      </c>
      <c r="L189" s="5" t="str">
        <f>IF(VLOOKUP(B189,Orders!$A:$D,4,FALSE())="Vrátená",INDEX({"Nevyhovujúca veľkosť";"Poškodený tovar pri doprave";"Produkt nezodpovedal popisu";"Zákazník zmenil názor";"Neskoré doručenie";"Chybný/vadný kus";"Duplicitná objednávka"},MOD(CODE(LEFT(A189,1))+LEN(A189),7)+1),"")</f>
        <v/>
      </c>
    </row>
    <row r="190" spans="1:12" x14ac:dyDescent="0.3">
      <c r="A190" s="2" t="s">
        <v>536</v>
      </c>
      <c r="B190" s="2" t="s">
        <v>168</v>
      </c>
      <c r="C190" s="2" t="s">
        <v>367</v>
      </c>
      <c r="D190" s="2">
        <v>4</v>
      </c>
      <c r="E190" s="4">
        <f>VLOOKUP(C190,Products!$A:$E,4,FALSE())</f>
        <v>24.99</v>
      </c>
      <c r="F190" s="8">
        <v>0.2</v>
      </c>
      <c r="G190" s="4">
        <f t="shared" si="8"/>
        <v>19.992000000000001</v>
      </c>
      <c r="H190" s="4">
        <f>VLOOKUP(C190,Products!$A:$E,5,FALSE())</f>
        <v>9.5</v>
      </c>
      <c r="I190" s="4">
        <f t="shared" si="9"/>
        <v>79.968000000000004</v>
      </c>
      <c r="J190" s="4">
        <f t="shared" si="10"/>
        <v>41.968000000000004</v>
      </c>
      <c r="K190" s="9">
        <f t="shared" si="11"/>
        <v>0.52480992396958781</v>
      </c>
      <c r="L190" s="2" t="str">
        <f>IF(VLOOKUP(B190,Orders!$A:$D,4,FALSE())="Vrátená",INDEX({"Nevyhovujúca veľkosť";"Poškodený tovar pri doprave";"Produkt nezodpovedal popisu";"Zákazník zmenil názor";"Neskoré doručenie";"Chybný/vadný kus";"Duplicitná objednávka"},MOD(CODE(LEFT(A190,1))+LEN(A190),7)+1),"")</f>
        <v/>
      </c>
    </row>
    <row r="191" spans="1:12" x14ac:dyDescent="0.3">
      <c r="A191" s="5" t="s">
        <v>537</v>
      </c>
      <c r="B191" s="5" t="s">
        <v>168</v>
      </c>
      <c r="C191" s="5" t="s">
        <v>470</v>
      </c>
      <c r="D191" s="5">
        <v>1</v>
      </c>
      <c r="E191" s="7">
        <f>VLOOKUP(C191,Products!$A:$E,4,FALSE())</f>
        <v>44.99</v>
      </c>
      <c r="F191" s="10">
        <v>0</v>
      </c>
      <c r="G191" s="7">
        <f t="shared" si="8"/>
        <v>44.99</v>
      </c>
      <c r="H191" s="7">
        <f>VLOOKUP(C191,Products!$A:$E,5,FALSE())</f>
        <v>18</v>
      </c>
      <c r="I191" s="7">
        <f t="shared" si="9"/>
        <v>44.99</v>
      </c>
      <c r="J191" s="7">
        <f t="shared" si="10"/>
        <v>26.990000000000002</v>
      </c>
      <c r="K191" s="11">
        <f t="shared" si="11"/>
        <v>0.59991109135363418</v>
      </c>
      <c r="L191" s="5" t="str">
        <f>IF(VLOOKUP(B191,Orders!$A:$D,4,FALSE())="Vrátená",INDEX({"Nevyhovujúca veľkosť";"Poškodený tovar pri doprave";"Produkt nezodpovedal popisu";"Zákazník zmenil názor";"Neskoré doručenie";"Chybný/vadný kus";"Duplicitná objednávka"},MOD(CODE(LEFT(A191,1))+LEN(A191),7)+1),"")</f>
        <v/>
      </c>
    </row>
    <row r="192" spans="1:12" x14ac:dyDescent="0.3">
      <c r="A192" s="2" t="s">
        <v>538</v>
      </c>
      <c r="B192" s="2" t="s">
        <v>170</v>
      </c>
      <c r="C192" s="2" t="s">
        <v>316</v>
      </c>
      <c r="D192" s="2">
        <v>3</v>
      </c>
      <c r="E192" s="4">
        <f>VLOOKUP(C192,Products!$A:$E,4,FALSE())</f>
        <v>39.99</v>
      </c>
      <c r="F192" s="8">
        <v>0.05</v>
      </c>
      <c r="G192" s="4">
        <f t="shared" si="8"/>
        <v>37.990499999999997</v>
      </c>
      <c r="H192" s="4">
        <f>VLOOKUP(C192,Products!$A:$E,5,FALSE())</f>
        <v>16</v>
      </c>
      <c r="I192" s="4">
        <f t="shared" si="9"/>
        <v>113.97149999999999</v>
      </c>
      <c r="J192" s="4">
        <f t="shared" si="10"/>
        <v>65.971499999999992</v>
      </c>
      <c r="K192" s="9">
        <f t="shared" si="11"/>
        <v>0.57884207894078776</v>
      </c>
      <c r="L192" s="2" t="str">
        <f>IF(VLOOKUP(B192,Orders!$A:$D,4,FALSE())="Vrátená",INDEX({"Nevyhovujúca veľkosť";"Poškodený tovar pri doprave";"Produkt nezodpovedal popisu";"Zákazník zmenil názor";"Neskoré doručenie";"Chybný/vadný kus";"Duplicitná objednávka"},MOD(CODE(LEFT(A192,1))+LEN(A192),7)+1),"")</f>
        <v/>
      </c>
    </row>
    <row r="193" spans="1:12" x14ac:dyDescent="0.3">
      <c r="A193" s="5" t="s">
        <v>539</v>
      </c>
      <c r="B193" s="5" t="s">
        <v>170</v>
      </c>
      <c r="C193" s="5" t="s">
        <v>337</v>
      </c>
      <c r="D193" s="5">
        <v>1</v>
      </c>
      <c r="E193" s="7">
        <f>VLOOKUP(C193,Products!$A:$E,4,FALSE())</f>
        <v>17.989999999999998</v>
      </c>
      <c r="F193" s="10">
        <v>0</v>
      </c>
      <c r="G193" s="7">
        <f t="shared" si="8"/>
        <v>17.989999999999998</v>
      </c>
      <c r="H193" s="7">
        <f>VLOOKUP(C193,Products!$A:$E,5,FALSE())</f>
        <v>7</v>
      </c>
      <c r="I193" s="7">
        <f t="shared" si="9"/>
        <v>17.989999999999998</v>
      </c>
      <c r="J193" s="7">
        <f t="shared" si="10"/>
        <v>10.989999999999998</v>
      </c>
      <c r="K193" s="11">
        <f t="shared" si="11"/>
        <v>0.61089494163424118</v>
      </c>
      <c r="L193" s="5" t="str">
        <f>IF(VLOOKUP(B193,Orders!$A:$D,4,FALSE())="Vrátená",INDEX({"Nevyhovujúca veľkosť";"Poškodený tovar pri doprave";"Produkt nezodpovedal popisu";"Zákazník zmenil názor";"Neskoré doručenie";"Chybný/vadný kus";"Duplicitná objednávka"},MOD(CODE(LEFT(A193,1))+LEN(A193),7)+1),"")</f>
        <v/>
      </c>
    </row>
    <row r="194" spans="1:12" x14ac:dyDescent="0.3">
      <c r="A194" s="2" t="s">
        <v>540</v>
      </c>
      <c r="B194" s="2" t="s">
        <v>170</v>
      </c>
      <c r="C194" s="2" t="s">
        <v>322</v>
      </c>
      <c r="D194" s="2">
        <v>1</v>
      </c>
      <c r="E194" s="4">
        <f>VLOOKUP(C194,Products!$A:$E,4,FALSE())</f>
        <v>104.99</v>
      </c>
      <c r="F194" s="8">
        <v>0.1</v>
      </c>
      <c r="G194" s="4">
        <f t="shared" ref="G194:G257" si="12">E194*(1-F194)</f>
        <v>94.491</v>
      </c>
      <c r="H194" s="4">
        <f>VLOOKUP(C194,Products!$A:$E,5,FALSE())</f>
        <v>55</v>
      </c>
      <c r="I194" s="4">
        <f t="shared" ref="I194:I257" si="13">D194*G194</f>
        <v>94.491</v>
      </c>
      <c r="J194" s="4">
        <f t="shared" ref="J194:J257" si="14">I194-(D194*H194)</f>
        <v>39.491</v>
      </c>
      <c r="K194" s="9">
        <f t="shared" ref="K194:K257" si="15">IFERROR(J194/I194,0)</f>
        <v>0.41793398313066854</v>
      </c>
      <c r="L194" s="2" t="str">
        <f>IF(VLOOKUP(B194,Orders!$A:$D,4,FALSE())="Vrátená",INDEX({"Nevyhovujúca veľkosť";"Poškodený tovar pri doprave";"Produkt nezodpovedal popisu";"Zákazník zmenil názor";"Neskoré doručenie";"Chybný/vadný kus";"Duplicitná objednávka"},MOD(CODE(LEFT(A194,1))+LEN(A194),7)+1),"")</f>
        <v/>
      </c>
    </row>
    <row r="195" spans="1:12" x14ac:dyDescent="0.3">
      <c r="A195" s="5" t="s">
        <v>541</v>
      </c>
      <c r="B195" s="5" t="s">
        <v>172</v>
      </c>
      <c r="C195" s="5" t="s">
        <v>345</v>
      </c>
      <c r="D195" s="5">
        <v>1</v>
      </c>
      <c r="E195" s="7">
        <f>VLOOKUP(C195,Products!$A:$E,4,FALSE())</f>
        <v>13.49</v>
      </c>
      <c r="F195" s="10">
        <v>0</v>
      </c>
      <c r="G195" s="7">
        <f t="shared" si="12"/>
        <v>13.49</v>
      </c>
      <c r="H195" s="7">
        <f>VLOOKUP(C195,Products!$A:$E,5,FALSE())</f>
        <v>4.5</v>
      </c>
      <c r="I195" s="7">
        <f t="shared" si="13"/>
        <v>13.49</v>
      </c>
      <c r="J195" s="7">
        <f t="shared" si="14"/>
        <v>8.99</v>
      </c>
      <c r="K195" s="11">
        <f t="shared" si="15"/>
        <v>0.66641957005189034</v>
      </c>
      <c r="L195" s="5" t="str">
        <f>IF(VLOOKUP(B195,Orders!$A:$D,4,FALSE())="Vrátená",INDEX({"Nevyhovujúca veľkosť";"Poškodený tovar pri doprave";"Produkt nezodpovedal popisu";"Zákazník zmenil názor";"Neskoré doručenie";"Chybný/vadný kus";"Duplicitná objednávka"},MOD(CODE(LEFT(A195,1))+LEN(A195),7)+1),"")</f>
        <v/>
      </c>
    </row>
    <row r="196" spans="1:12" x14ac:dyDescent="0.3">
      <c r="A196" s="2" t="s">
        <v>542</v>
      </c>
      <c r="B196" s="2" t="s">
        <v>173</v>
      </c>
      <c r="C196" s="2" t="s">
        <v>442</v>
      </c>
      <c r="D196" s="2">
        <v>3</v>
      </c>
      <c r="E196" s="4">
        <f>VLOOKUP(C196,Products!$A:$E,4,FALSE())</f>
        <v>8.99</v>
      </c>
      <c r="F196" s="8">
        <v>0</v>
      </c>
      <c r="G196" s="4">
        <f t="shared" si="12"/>
        <v>8.99</v>
      </c>
      <c r="H196" s="4">
        <f>VLOOKUP(C196,Products!$A:$E,5,FALSE())</f>
        <v>3</v>
      </c>
      <c r="I196" s="4">
        <f t="shared" si="13"/>
        <v>26.97</v>
      </c>
      <c r="J196" s="4">
        <f t="shared" si="14"/>
        <v>17.97</v>
      </c>
      <c r="K196" s="9">
        <f t="shared" si="15"/>
        <v>0.66629588431590658</v>
      </c>
      <c r="L196" s="2" t="str">
        <f>IF(VLOOKUP(B196,Orders!$A:$D,4,FALSE())="Vrátená",INDEX({"Nevyhovujúca veľkosť";"Poškodený tovar pri doprave";"Produkt nezodpovedal popisu";"Zákazník zmenil názor";"Neskoré doručenie";"Chybný/vadný kus";"Duplicitná objednávka"},MOD(CODE(LEFT(A196,1))+LEN(A196),7)+1),"")</f>
        <v/>
      </c>
    </row>
    <row r="197" spans="1:12" x14ac:dyDescent="0.3">
      <c r="A197" s="5" t="s">
        <v>543</v>
      </c>
      <c r="B197" s="5" t="s">
        <v>173</v>
      </c>
      <c r="C197" s="5" t="s">
        <v>364</v>
      </c>
      <c r="D197" s="5">
        <v>2</v>
      </c>
      <c r="E197" s="7">
        <f>VLOOKUP(C197,Products!$A:$E,4,FALSE())</f>
        <v>49.99</v>
      </c>
      <c r="F197" s="10">
        <v>0</v>
      </c>
      <c r="G197" s="7">
        <f t="shared" si="12"/>
        <v>49.99</v>
      </c>
      <c r="H197" s="7">
        <f>VLOOKUP(C197,Products!$A:$E,5,FALSE())</f>
        <v>22</v>
      </c>
      <c r="I197" s="7">
        <f t="shared" si="13"/>
        <v>99.98</v>
      </c>
      <c r="J197" s="7">
        <f t="shared" si="14"/>
        <v>55.980000000000004</v>
      </c>
      <c r="K197" s="11">
        <f t="shared" si="15"/>
        <v>0.55991198239647932</v>
      </c>
      <c r="L197" s="5" t="str">
        <f>IF(VLOOKUP(B197,Orders!$A:$D,4,FALSE())="Vrátená",INDEX({"Nevyhovujúca veľkosť";"Poškodený tovar pri doprave";"Produkt nezodpovedal popisu";"Zákazník zmenil názor";"Neskoré doručenie";"Chybný/vadný kus";"Duplicitná objednávka"},MOD(CODE(LEFT(A197,1))+LEN(A197),7)+1),"")</f>
        <v/>
      </c>
    </row>
    <row r="198" spans="1:12" x14ac:dyDescent="0.3">
      <c r="A198" s="2" t="s">
        <v>544</v>
      </c>
      <c r="B198" s="2" t="s">
        <v>173</v>
      </c>
      <c r="C198" s="2" t="s">
        <v>357</v>
      </c>
      <c r="D198" s="2">
        <v>1</v>
      </c>
      <c r="E198" s="4">
        <f>VLOOKUP(C198,Products!$A:$E,4,FALSE())</f>
        <v>13.99</v>
      </c>
      <c r="F198" s="8">
        <v>0</v>
      </c>
      <c r="G198" s="4">
        <f t="shared" si="12"/>
        <v>13.99</v>
      </c>
      <c r="H198" s="4">
        <f>VLOOKUP(C198,Products!$A:$E,5,FALSE())</f>
        <v>5.5</v>
      </c>
      <c r="I198" s="4">
        <f t="shared" si="13"/>
        <v>13.99</v>
      </c>
      <c r="J198" s="4">
        <f t="shared" si="14"/>
        <v>8.49</v>
      </c>
      <c r="K198" s="9">
        <f t="shared" si="15"/>
        <v>0.60686204431736956</v>
      </c>
      <c r="L198" s="2" t="str">
        <f>IF(VLOOKUP(B198,Orders!$A:$D,4,FALSE())="Vrátená",INDEX({"Nevyhovujúca veľkosť";"Poškodený tovar pri doprave";"Produkt nezodpovedal popisu";"Zákazník zmenil názor";"Neskoré doručenie";"Chybný/vadný kus";"Duplicitná objednávka"},MOD(CODE(LEFT(A198,1))+LEN(A198),7)+1),"")</f>
        <v/>
      </c>
    </row>
    <row r="199" spans="1:12" x14ac:dyDescent="0.3">
      <c r="A199" s="5" t="s">
        <v>545</v>
      </c>
      <c r="B199" s="5" t="s">
        <v>174</v>
      </c>
      <c r="C199" s="5" t="s">
        <v>432</v>
      </c>
      <c r="D199" s="5">
        <v>1</v>
      </c>
      <c r="E199" s="7">
        <f>VLOOKUP(C199,Products!$A:$E,4,FALSE())</f>
        <v>11.49</v>
      </c>
      <c r="F199" s="10">
        <v>0</v>
      </c>
      <c r="G199" s="7">
        <f t="shared" si="12"/>
        <v>11.49</v>
      </c>
      <c r="H199" s="7">
        <f>VLOOKUP(C199,Products!$A:$E,5,FALSE())</f>
        <v>3.5</v>
      </c>
      <c r="I199" s="7">
        <f t="shared" si="13"/>
        <v>11.49</v>
      </c>
      <c r="J199" s="7">
        <f t="shared" si="14"/>
        <v>7.99</v>
      </c>
      <c r="K199" s="11">
        <f t="shared" si="15"/>
        <v>0.69538729329852045</v>
      </c>
      <c r="L199" s="5" t="str">
        <f>IF(VLOOKUP(B199,Orders!$A:$D,4,FALSE())="Vrátená",INDEX({"Nevyhovujúca veľkosť";"Poškodený tovar pri doprave";"Produkt nezodpovedal popisu";"Zákazník zmenil názor";"Neskoré doručenie";"Chybný/vadný kus";"Duplicitná objednávka"},MOD(CODE(LEFT(A199,1))+LEN(A199),7)+1),"")</f>
        <v/>
      </c>
    </row>
    <row r="200" spans="1:12" x14ac:dyDescent="0.3">
      <c r="A200" s="2" t="s">
        <v>546</v>
      </c>
      <c r="B200" s="2" t="s">
        <v>176</v>
      </c>
      <c r="C200" s="2" t="s">
        <v>347</v>
      </c>
      <c r="D200" s="2">
        <v>2</v>
      </c>
      <c r="E200" s="4">
        <f>VLOOKUP(C200,Products!$A:$E,4,FALSE())</f>
        <v>18.989999999999998</v>
      </c>
      <c r="F200" s="8">
        <v>0.2</v>
      </c>
      <c r="G200" s="4">
        <f t="shared" si="12"/>
        <v>15.192</v>
      </c>
      <c r="H200" s="4">
        <f>VLOOKUP(C200,Products!$A:$E,5,FALSE())</f>
        <v>7.5</v>
      </c>
      <c r="I200" s="4">
        <f t="shared" si="13"/>
        <v>30.384</v>
      </c>
      <c r="J200" s="4">
        <f t="shared" si="14"/>
        <v>15.384</v>
      </c>
      <c r="K200" s="9">
        <f t="shared" si="15"/>
        <v>0.50631911532385465</v>
      </c>
      <c r="L200" s="2" t="str">
        <f>IF(VLOOKUP(B200,Orders!$A:$D,4,FALSE())="Vrátená",INDEX({"Nevyhovujúca veľkosť";"Poškodený tovar pri doprave";"Produkt nezodpovedal popisu";"Zákazník zmenil názor";"Neskoré doručenie";"Chybný/vadný kus";"Duplicitná objednávka"},MOD(CODE(LEFT(A200,1))+LEN(A200),7)+1),"")</f>
        <v/>
      </c>
    </row>
    <row r="201" spans="1:12" x14ac:dyDescent="0.3">
      <c r="A201" s="5" t="s">
        <v>547</v>
      </c>
      <c r="B201" s="5" t="s">
        <v>176</v>
      </c>
      <c r="C201" s="5" t="s">
        <v>318</v>
      </c>
      <c r="D201" s="5">
        <v>2</v>
      </c>
      <c r="E201" s="7">
        <f>VLOOKUP(C201,Products!$A:$E,4,FALSE())</f>
        <v>29.99</v>
      </c>
      <c r="F201" s="10">
        <v>0.05</v>
      </c>
      <c r="G201" s="7">
        <f t="shared" si="12"/>
        <v>28.490499999999997</v>
      </c>
      <c r="H201" s="7">
        <f>VLOOKUP(C201,Products!$A:$E,5,FALSE())</f>
        <v>13</v>
      </c>
      <c r="I201" s="7">
        <f t="shared" si="13"/>
        <v>56.980999999999995</v>
      </c>
      <c r="J201" s="7">
        <f t="shared" si="14"/>
        <v>30.980999999999995</v>
      </c>
      <c r="K201" s="11">
        <f t="shared" si="15"/>
        <v>0.54370755164002027</v>
      </c>
      <c r="L201" s="5" t="str">
        <f>IF(VLOOKUP(B201,Orders!$A:$D,4,FALSE())="Vrátená",INDEX({"Nevyhovujúca veľkosť";"Poškodený tovar pri doprave";"Produkt nezodpovedal popisu";"Zákazník zmenil názor";"Neskoré doručenie";"Chybný/vadný kus";"Duplicitná objednávka"},MOD(CODE(LEFT(A201,1))+LEN(A201),7)+1),"")</f>
        <v/>
      </c>
    </row>
    <row r="202" spans="1:12" x14ac:dyDescent="0.3">
      <c r="A202" s="2" t="s">
        <v>548</v>
      </c>
      <c r="B202" s="2" t="s">
        <v>177</v>
      </c>
      <c r="C202" s="2" t="s">
        <v>310</v>
      </c>
      <c r="D202" s="2">
        <v>1</v>
      </c>
      <c r="E202" s="4">
        <f>VLOOKUP(C202,Products!$A:$E,4,FALSE())</f>
        <v>34.99</v>
      </c>
      <c r="F202" s="8">
        <v>0.05</v>
      </c>
      <c r="G202" s="4">
        <f t="shared" si="12"/>
        <v>33.240499999999997</v>
      </c>
      <c r="H202" s="4">
        <f>VLOOKUP(C202,Products!$A:$E,5,FALSE())</f>
        <v>14</v>
      </c>
      <c r="I202" s="4">
        <f t="shared" si="13"/>
        <v>33.240499999999997</v>
      </c>
      <c r="J202" s="4">
        <f t="shared" si="14"/>
        <v>19.240499999999997</v>
      </c>
      <c r="K202" s="9">
        <f t="shared" si="15"/>
        <v>0.57882703328770624</v>
      </c>
      <c r="L202" s="2" t="str">
        <f>IF(VLOOKUP(B202,Orders!$A:$D,4,FALSE())="Vrátená",INDEX({"Nevyhovujúca veľkosť";"Poškodený tovar pri doprave";"Produkt nezodpovedal popisu";"Zákazník zmenil názor";"Neskoré doručenie";"Chybný/vadný kus";"Duplicitná objednávka"},MOD(CODE(LEFT(A202,1))+LEN(A202),7)+1),"")</f>
        <v/>
      </c>
    </row>
    <row r="203" spans="1:12" x14ac:dyDescent="0.3">
      <c r="A203" s="5" t="s">
        <v>549</v>
      </c>
      <c r="B203" s="5" t="s">
        <v>178</v>
      </c>
      <c r="C203" s="5" t="s">
        <v>345</v>
      </c>
      <c r="D203" s="5">
        <v>1</v>
      </c>
      <c r="E203" s="7">
        <f>VLOOKUP(C203,Products!$A:$E,4,FALSE())</f>
        <v>13.49</v>
      </c>
      <c r="F203" s="10">
        <v>0</v>
      </c>
      <c r="G203" s="7">
        <f t="shared" si="12"/>
        <v>13.49</v>
      </c>
      <c r="H203" s="7">
        <f>VLOOKUP(C203,Products!$A:$E,5,FALSE())</f>
        <v>4.5</v>
      </c>
      <c r="I203" s="7">
        <f t="shared" si="13"/>
        <v>13.49</v>
      </c>
      <c r="J203" s="7">
        <f t="shared" si="14"/>
        <v>8.99</v>
      </c>
      <c r="K203" s="11">
        <f t="shared" si="15"/>
        <v>0.66641957005189034</v>
      </c>
      <c r="L203" s="5" t="str">
        <f>IF(VLOOKUP(B203,Orders!$A:$D,4,FALSE())="Vrátená",INDEX({"Nevyhovujúca veľkosť";"Poškodený tovar pri doprave";"Produkt nezodpovedal popisu";"Zákazník zmenil názor";"Neskoré doručenie";"Chybný/vadný kus";"Duplicitná objednávka"},MOD(CODE(LEFT(A203,1))+LEN(A203),7)+1),"")</f>
        <v/>
      </c>
    </row>
    <row r="204" spans="1:12" x14ac:dyDescent="0.3">
      <c r="A204" s="2" t="s">
        <v>550</v>
      </c>
      <c r="B204" s="2" t="s">
        <v>178</v>
      </c>
      <c r="C204" s="2" t="s">
        <v>361</v>
      </c>
      <c r="D204" s="2">
        <v>4</v>
      </c>
      <c r="E204" s="4">
        <f>VLOOKUP(C204,Products!$A:$E,4,FALSE())</f>
        <v>27.49</v>
      </c>
      <c r="F204" s="8">
        <v>0</v>
      </c>
      <c r="G204" s="4">
        <f t="shared" si="12"/>
        <v>27.49</v>
      </c>
      <c r="H204" s="4">
        <f>VLOOKUP(C204,Products!$A:$E,5,FALSE())</f>
        <v>11</v>
      </c>
      <c r="I204" s="4">
        <f t="shared" si="13"/>
        <v>109.96</v>
      </c>
      <c r="J204" s="4">
        <f t="shared" si="14"/>
        <v>65.959999999999994</v>
      </c>
      <c r="K204" s="9">
        <f t="shared" si="15"/>
        <v>0.59985449254274281</v>
      </c>
      <c r="L204" s="2" t="str">
        <f>IF(VLOOKUP(B204,Orders!$A:$D,4,FALSE())="Vrátená",INDEX({"Nevyhovujúca veľkosť";"Poškodený tovar pri doprave";"Produkt nezodpovedal popisu";"Zákazník zmenil názor";"Neskoré doručenie";"Chybný/vadný kus";"Duplicitná objednávka"},MOD(CODE(LEFT(A204,1))+LEN(A204),7)+1),"")</f>
        <v/>
      </c>
    </row>
    <row r="205" spans="1:12" x14ac:dyDescent="0.3">
      <c r="A205" s="5" t="s">
        <v>551</v>
      </c>
      <c r="B205" s="5" t="s">
        <v>179</v>
      </c>
      <c r="C205" s="5" t="s">
        <v>367</v>
      </c>
      <c r="D205" s="5">
        <v>2</v>
      </c>
      <c r="E205" s="7">
        <f>VLOOKUP(C205,Products!$A:$E,4,FALSE())</f>
        <v>24.99</v>
      </c>
      <c r="F205" s="10">
        <v>0</v>
      </c>
      <c r="G205" s="7">
        <f t="shared" si="12"/>
        <v>24.99</v>
      </c>
      <c r="H205" s="7">
        <f>VLOOKUP(C205,Products!$A:$E,5,FALSE())</f>
        <v>9.5</v>
      </c>
      <c r="I205" s="7">
        <f t="shared" si="13"/>
        <v>49.98</v>
      </c>
      <c r="J205" s="7">
        <f t="shared" si="14"/>
        <v>30.979999999999997</v>
      </c>
      <c r="K205" s="11">
        <f t="shared" si="15"/>
        <v>0.61984793917567027</v>
      </c>
      <c r="L205" s="5" t="str">
        <f>IF(VLOOKUP(B205,Orders!$A:$D,4,FALSE())="Vrátená",INDEX({"Nevyhovujúca veľkosť";"Poškodený tovar pri doprave";"Produkt nezodpovedal popisu";"Zákazník zmenil názor";"Neskoré doručenie";"Chybný/vadný kus";"Duplicitná objednávka"},MOD(CODE(LEFT(A205,1))+LEN(A205),7)+1),"")</f>
        <v/>
      </c>
    </row>
    <row r="206" spans="1:12" x14ac:dyDescent="0.3">
      <c r="A206" s="2" t="s">
        <v>552</v>
      </c>
      <c r="B206" s="2" t="s">
        <v>180</v>
      </c>
      <c r="C206" s="2" t="s">
        <v>316</v>
      </c>
      <c r="D206" s="2">
        <v>1</v>
      </c>
      <c r="E206" s="4">
        <f>VLOOKUP(C206,Products!$A:$E,4,FALSE())</f>
        <v>39.99</v>
      </c>
      <c r="F206" s="8">
        <v>0.05</v>
      </c>
      <c r="G206" s="4">
        <f t="shared" si="12"/>
        <v>37.990499999999997</v>
      </c>
      <c r="H206" s="4">
        <f>VLOOKUP(C206,Products!$A:$E,5,FALSE())</f>
        <v>16</v>
      </c>
      <c r="I206" s="4">
        <f t="shared" si="13"/>
        <v>37.990499999999997</v>
      </c>
      <c r="J206" s="4">
        <f t="shared" si="14"/>
        <v>21.990499999999997</v>
      </c>
      <c r="K206" s="9">
        <f t="shared" si="15"/>
        <v>0.57884207894078776</v>
      </c>
      <c r="L206" s="2" t="str">
        <f>IF(VLOOKUP(B206,Orders!$A:$D,4,FALSE())="Vrátená",INDEX({"Nevyhovujúca veľkosť";"Poškodený tovar pri doprave";"Produkt nezodpovedal popisu";"Zákazník zmenil názor";"Neskoré doručenie";"Chybný/vadný kus";"Duplicitná objednávka"},MOD(CODE(LEFT(A206,1))+LEN(A206),7)+1),"")</f>
        <v/>
      </c>
    </row>
    <row r="207" spans="1:12" x14ac:dyDescent="0.3">
      <c r="A207" s="5" t="s">
        <v>553</v>
      </c>
      <c r="B207" s="5" t="s">
        <v>180</v>
      </c>
      <c r="C207" s="5" t="s">
        <v>324</v>
      </c>
      <c r="D207" s="5">
        <v>2</v>
      </c>
      <c r="E207" s="7">
        <f>VLOOKUP(C207,Products!$A:$E,4,FALSE())</f>
        <v>13.99</v>
      </c>
      <c r="F207" s="10">
        <v>0.15</v>
      </c>
      <c r="G207" s="7">
        <f t="shared" si="12"/>
        <v>11.891500000000001</v>
      </c>
      <c r="H207" s="7">
        <f>VLOOKUP(C207,Products!$A:$E,5,FALSE())</f>
        <v>5</v>
      </c>
      <c r="I207" s="7">
        <f t="shared" si="13"/>
        <v>23.783000000000001</v>
      </c>
      <c r="J207" s="7">
        <f t="shared" si="14"/>
        <v>13.783000000000001</v>
      </c>
      <c r="K207" s="11">
        <f t="shared" si="15"/>
        <v>0.57953159820039524</v>
      </c>
      <c r="L207" s="5" t="str">
        <f>IF(VLOOKUP(B207,Orders!$A:$D,4,FALSE())="Vrátená",INDEX({"Nevyhovujúca veľkosť";"Poškodený tovar pri doprave";"Produkt nezodpovedal popisu";"Zákazník zmenil názor";"Neskoré doručenie";"Chybný/vadný kus";"Duplicitná objednávka"},MOD(CODE(LEFT(A207,1))+LEN(A207),7)+1),"")</f>
        <v/>
      </c>
    </row>
    <row r="208" spans="1:12" x14ac:dyDescent="0.3">
      <c r="A208" s="2" t="s">
        <v>554</v>
      </c>
      <c r="B208" s="2" t="s">
        <v>180</v>
      </c>
      <c r="C208" s="2" t="s">
        <v>492</v>
      </c>
      <c r="D208" s="2">
        <v>1</v>
      </c>
      <c r="E208" s="4">
        <f>VLOOKUP(C208,Products!$A:$E,4,FALSE())</f>
        <v>11.99</v>
      </c>
      <c r="F208" s="8">
        <v>0.05</v>
      </c>
      <c r="G208" s="4">
        <f t="shared" si="12"/>
        <v>11.390499999999999</v>
      </c>
      <c r="H208" s="4">
        <f>VLOOKUP(C208,Products!$A:$E,5,FALSE())</f>
        <v>4</v>
      </c>
      <c r="I208" s="4">
        <f t="shared" si="13"/>
        <v>11.390499999999999</v>
      </c>
      <c r="J208" s="4">
        <f t="shared" si="14"/>
        <v>7.3904999999999994</v>
      </c>
      <c r="K208" s="9">
        <f t="shared" si="15"/>
        <v>0.64883016548878447</v>
      </c>
      <c r="L208" s="2" t="str">
        <f>IF(VLOOKUP(B208,Orders!$A:$D,4,FALSE())="Vrátená",INDEX({"Nevyhovujúca veľkosť";"Poškodený tovar pri doprave";"Produkt nezodpovedal popisu";"Zákazník zmenil názor";"Neskoré doručenie";"Chybný/vadný kus";"Duplicitná objednávka"},MOD(CODE(LEFT(A208,1))+LEN(A208),7)+1),"")</f>
        <v/>
      </c>
    </row>
    <row r="209" spans="1:12" x14ac:dyDescent="0.3">
      <c r="A209" s="5" t="s">
        <v>555</v>
      </c>
      <c r="B209" s="5" t="s">
        <v>181</v>
      </c>
      <c r="C209" s="5" t="s">
        <v>349</v>
      </c>
      <c r="D209" s="5">
        <v>1</v>
      </c>
      <c r="E209" s="7">
        <f>VLOOKUP(C209,Products!$A:$E,4,FALSE())</f>
        <v>24.99</v>
      </c>
      <c r="F209" s="10">
        <v>0.05</v>
      </c>
      <c r="G209" s="7">
        <f t="shared" si="12"/>
        <v>23.740499999999997</v>
      </c>
      <c r="H209" s="7">
        <f>VLOOKUP(C209,Products!$A:$E,5,FALSE())</f>
        <v>10.5</v>
      </c>
      <c r="I209" s="7">
        <f t="shared" si="13"/>
        <v>23.740499999999997</v>
      </c>
      <c r="J209" s="7">
        <f t="shared" si="14"/>
        <v>13.240499999999997</v>
      </c>
      <c r="K209" s="11">
        <f t="shared" si="15"/>
        <v>0.55771782397169389</v>
      </c>
      <c r="L209" s="5" t="str">
        <f>IF(VLOOKUP(B209,Orders!$A:$D,4,FALSE())="Vrátená",INDEX({"Nevyhovujúca veľkosť";"Poškodený tovar pri doprave";"Produkt nezodpovedal popisu";"Zákazník zmenil názor";"Neskoré doručenie";"Chybný/vadný kus";"Duplicitná objednávka"},MOD(CODE(LEFT(A209,1))+LEN(A209),7)+1),"")</f>
        <v/>
      </c>
    </row>
    <row r="210" spans="1:12" x14ac:dyDescent="0.3">
      <c r="A210" s="2" t="s">
        <v>556</v>
      </c>
      <c r="B210" s="2" t="s">
        <v>181</v>
      </c>
      <c r="C210" s="2" t="s">
        <v>308</v>
      </c>
      <c r="D210" s="2">
        <v>2</v>
      </c>
      <c r="E210" s="4">
        <f>VLOOKUP(C210,Products!$A:$E,4,FALSE())</f>
        <v>22.49</v>
      </c>
      <c r="F210" s="8">
        <v>0.05</v>
      </c>
      <c r="G210" s="4">
        <f t="shared" si="12"/>
        <v>21.365499999999997</v>
      </c>
      <c r="H210" s="4">
        <f>VLOOKUP(C210,Products!$A:$E,5,FALSE())</f>
        <v>9</v>
      </c>
      <c r="I210" s="4">
        <f t="shared" si="13"/>
        <v>42.730999999999995</v>
      </c>
      <c r="J210" s="4">
        <f t="shared" si="14"/>
        <v>24.730999999999995</v>
      </c>
      <c r="K210" s="9">
        <f t="shared" si="15"/>
        <v>0.5787601507102571</v>
      </c>
      <c r="L210" s="2" t="str">
        <f>IF(VLOOKUP(B210,Orders!$A:$D,4,FALSE())="Vrátená",INDEX({"Nevyhovujúca veľkosť";"Poškodený tovar pri doprave";"Produkt nezodpovedal popisu";"Zákazník zmenil názor";"Neskoré doručenie";"Chybný/vadný kus";"Duplicitná objednávka"},MOD(CODE(LEFT(A210,1))+LEN(A210),7)+1),"")</f>
        <v/>
      </c>
    </row>
    <row r="211" spans="1:12" x14ac:dyDescent="0.3">
      <c r="A211" s="5" t="s">
        <v>557</v>
      </c>
      <c r="B211" s="5" t="s">
        <v>181</v>
      </c>
      <c r="C211" s="5" t="s">
        <v>306</v>
      </c>
      <c r="D211" s="5">
        <v>1</v>
      </c>
      <c r="E211" s="7">
        <f>VLOOKUP(C211,Products!$A:$E,4,FALSE())</f>
        <v>34.99</v>
      </c>
      <c r="F211" s="10">
        <v>0.1</v>
      </c>
      <c r="G211" s="7">
        <f t="shared" si="12"/>
        <v>31.491000000000003</v>
      </c>
      <c r="H211" s="7">
        <f>VLOOKUP(C211,Products!$A:$E,5,FALSE())</f>
        <v>15</v>
      </c>
      <c r="I211" s="7">
        <f t="shared" si="13"/>
        <v>31.491000000000003</v>
      </c>
      <c r="J211" s="7">
        <f t="shared" si="14"/>
        <v>16.491000000000003</v>
      </c>
      <c r="K211" s="11">
        <f t="shared" si="15"/>
        <v>0.52367343050395354</v>
      </c>
      <c r="L211" s="5" t="str">
        <f>IF(VLOOKUP(B211,Orders!$A:$D,4,FALSE())="Vrátená",INDEX({"Nevyhovujúca veľkosť";"Poškodený tovar pri doprave";"Produkt nezodpovedal popisu";"Zákazník zmenil názor";"Neskoré doručenie";"Chybný/vadný kus";"Duplicitná objednávka"},MOD(CODE(LEFT(A211,1))+LEN(A211),7)+1),"")</f>
        <v/>
      </c>
    </row>
    <row r="212" spans="1:12" x14ac:dyDescent="0.3">
      <c r="A212" s="2" t="s">
        <v>558</v>
      </c>
      <c r="B212" s="2" t="s">
        <v>182</v>
      </c>
      <c r="C212" s="2" t="s">
        <v>324</v>
      </c>
      <c r="D212" s="2">
        <v>1</v>
      </c>
      <c r="E212" s="4">
        <f>VLOOKUP(C212,Products!$A:$E,4,FALSE())</f>
        <v>13.99</v>
      </c>
      <c r="F212" s="8">
        <v>0</v>
      </c>
      <c r="G212" s="4">
        <f t="shared" si="12"/>
        <v>13.99</v>
      </c>
      <c r="H212" s="4">
        <f>VLOOKUP(C212,Products!$A:$E,5,FALSE())</f>
        <v>5</v>
      </c>
      <c r="I212" s="4">
        <f t="shared" si="13"/>
        <v>13.99</v>
      </c>
      <c r="J212" s="4">
        <f t="shared" si="14"/>
        <v>8.99</v>
      </c>
      <c r="K212" s="9">
        <f t="shared" si="15"/>
        <v>0.64260185847033591</v>
      </c>
      <c r="L212" s="2" t="str">
        <f>IF(VLOOKUP(B212,Orders!$A:$D,4,FALSE())="Vrátená",INDEX({"Nevyhovujúca veľkosť";"Poškodený tovar pri doprave";"Produkt nezodpovedal popisu";"Zákazník zmenil názor";"Neskoré doručenie";"Chybný/vadný kus";"Duplicitná objednávka"},MOD(CODE(LEFT(A212,1))+LEN(A212),7)+1),"")</f>
        <v>Produkt nezodpovedal popisu</v>
      </c>
    </row>
    <row r="213" spans="1:12" x14ac:dyDescent="0.3">
      <c r="A213" s="5" t="s">
        <v>559</v>
      </c>
      <c r="B213" s="5" t="s">
        <v>182</v>
      </c>
      <c r="C213" s="5" t="s">
        <v>428</v>
      </c>
      <c r="D213" s="5">
        <v>5</v>
      </c>
      <c r="E213" s="7">
        <f>VLOOKUP(C213,Products!$A:$E,4,FALSE())</f>
        <v>10.49</v>
      </c>
      <c r="F213" s="10">
        <v>0</v>
      </c>
      <c r="G213" s="7">
        <f t="shared" si="12"/>
        <v>10.49</v>
      </c>
      <c r="H213" s="7">
        <f>VLOOKUP(C213,Products!$A:$E,5,FALSE())</f>
        <v>3.5</v>
      </c>
      <c r="I213" s="7">
        <f t="shared" si="13"/>
        <v>52.45</v>
      </c>
      <c r="J213" s="7">
        <f t="shared" si="14"/>
        <v>34.950000000000003</v>
      </c>
      <c r="K213" s="11">
        <f t="shared" si="15"/>
        <v>0.66634890371782651</v>
      </c>
      <c r="L213" s="5" t="str">
        <f>IF(VLOOKUP(B213,Orders!$A:$D,4,FALSE())="Vrátená",INDEX({"Nevyhovujúca veľkosť";"Poškodený tovar pri doprave";"Produkt nezodpovedal popisu";"Zákazník zmenil názor";"Neskoré doručenie";"Chybný/vadný kus";"Duplicitná objednávka"},MOD(CODE(LEFT(A213,1))+LEN(A213),7)+1),"")</f>
        <v>Produkt nezodpovedal popisu</v>
      </c>
    </row>
    <row r="214" spans="1:12" x14ac:dyDescent="0.3">
      <c r="A214" s="2" t="s">
        <v>560</v>
      </c>
      <c r="B214" s="2" t="s">
        <v>184</v>
      </c>
      <c r="C214" s="2" t="s">
        <v>352</v>
      </c>
      <c r="D214" s="2">
        <v>3</v>
      </c>
      <c r="E214" s="4">
        <f>VLOOKUP(C214,Products!$A:$E,4,FALSE())</f>
        <v>189.99</v>
      </c>
      <c r="F214" s="8">
        <v>0.1</v>
      </c>
      <c r="G214" s="4">
        <f t="shared" si="12"/>
        <v>170.99100000000001</v>
      </c>
      <c r="H214" s="4">
        <f>VLOOKUP(C214,Products!$A:$E,5,FALSE())</f>
        <v>110</v>
      </c>
      <c r="I214" s="4">
        <f t="shared" si="13"/>
        <v>512.97300000000007</v>
      </c>
      <c r="J214" s="4">
        <f t="shared" si="14"/>
        <v>182.97300000000007</v>
      </c>
      <c r="K214" s="9">
        <f t="shared" si="15"/>
        <v>0.3566912878455592</v>
      </c>
      <c r="L214" s="2" t="str">
        <f>IF(VLOOKUP(B214,Orders!$A:$D,4,FALSE())="Vrátená",INDEX({"Nevyhovujúca veľkosť";"Poškodený tovar pri doprave";"Produkt nezodpovedal popisu";"Zákazník zmenil názor";"Neskoré doručenie";"Chybný/vadný kus";"Duplicitná objednávka"},MOD(CODE(LEFT(A214,1))+LEN(A214),7)+1),"")</f>
        <v/>
      </c>
    </row>
    <row r="215" spans="1:12" x14ac:dyDescent="0.3">
      <c r="A215" s="5" t="s">
        <v>561</v>
      </c>
      <c r="B215" s="5" t="s">
        <v>185</v>
      </c>
      <c r="C215" s="5" t="s">
        <v>342</v>
      </c>
      <c r="D215" s="5">
        <v>1</v>
      </c>
      <c r="E215" s="7">
        <f>VLOOKUP(C215,Products!$A:$E,4,FALSE())</f>
        <v>29.99</v>
      </c>
      <c r="F215" s="10">
        <v>0</v>
      </c>
      <c r="G215" s="7">
        <f t="shared" si="12"/>
        <v>29.99</v>
      </c>
      <c r="H215" s="7">
        <f>VLOOKUP(C215,Products!$A:$E,5,FALSE())</f>
        <v>12.5</v>
      </c>
      <c r="I215" s="7">
        <f t="shared" si="13"/>
        <v>29.99</v>
      </c>
      <c r="J215" s="7">
        <f t="shared" si="14"/>
        <v>17.489999999999998</v>
      </c>
      <c r="K215" s="11">
        <f t="shared" si="15"/>
        <v>0.5831943981327109</v>
      </c>
      <c r="L215" s="5" t="str">
        <f>IF(VLOOKUP(B215,Orders!$A:$D,4,FALSE())="Vrátená",INDEX({"Nevyhovujúca veľkosť";"Poškodený tovar pri doprave";"Produkt nezodpovedal popisu";"Zákazník zmenil názor";"Neskoré doručenie";"Chybný/vadný kus";"Duplicitná objednávka"},MOD(CODE(LEFT(A215,1))+LEN(A215),7)+1),"")</f>
        <v/>
      </c>
    </row>
    <row r="216" spans="1:12" x14ac:dyDescent="0.3">
      <c r="A216" s="2" t="s">
        <v>562</v>
      </c>
      <c r="B216" s="2" t="s">
        <v>185</v>
      </c>
      <c r="C216" s="2" t="s">
        <v>328</v>
      </c>
      <c r="D216" s="2">
        <v>3</v>
      </c>
      <c r="E216" s="4">
        <f>VLOOKUP(C216,Products!$A:$E,4,FALSE())</f>
        <v>7.49</v>
      </c>
      <c r="F216" s="8">
        <v>0</v>
      </c>
      <c r="G216" s="4">
        <f t="shared" si="12"/>
        <v>7.49</v>
      </c>
      <c r="H216" s="4">
        <f>VLOOKUP(C216,Products!$A:$E,5,FALSE())</f>
        <v>2</v>
      </c>
      <c r="I216" s="4">
        <f t="shared" si="13"/>
        <v>22.47</v>
      </c>
      <c r="J216" s="4">
        <f t="shared" si="14"/>
        <v>16.47</v>
      </c>
      <c r="K216" s="9">
        <f t="shared" si="15"/>
        <v>0.73297730307076103</v>
      </c>
      <c r="L216" s="2" t="str">
        <f>IF(VLOOKUP(B216,Orders!$A:$D,4,FALSE())="Vrátená",INDEX({"Nevyhovujúca veľkosť";"Poškodený tovar pri doprave";"Produkt nezodpovedal popisu";"Zákazník zmenil názor";"Neskoré doručenie";"Chybný/vadný kus";"Duplicitná objednávka"},MOD(CODE(LEFT(A216,1))+LEN(A216),7)+1),"")</f>
        <v/>
      </c>
    </row>
    <row r="217" spans="1:12" x14ac:dyDescent="0.3">
      <c r="A217" s="5" t="s">
        <v>563</v>
      </c>
      <c r="B217" s="5" t="s">
        <v>185</v>
      </c>
      <c r="C217" s="5" t="s">
        <v>340</v>
      </c>
      <c r="D217" s="5">
        <v>1</v>
      </c>
      <c r="E217" s="7">
        <f>VLOOKUP(C217,Products!$A:$E,4,FALSE())</f>
        <v>44.99</v>
      </c>
      <c r="F217" s="10">
        <v>0.3</v>
      </c>
      <c r="G217" s="7">
        <f t="shared" si="12"/>
        <v>31.492999999999999</v>
      </c>
      <c r="H217" s="7">
        <f>VLOOKUP(C217,Products!$A:$E,5,FALSE())</f>
        <v>18</v>
      </c>
      <c r="I217" s="7">
        <f t="shared" si="13"/>
        <v>31.492999999999999</v>
      </c>
      <c r="J217" s="7">
        <f t="shared" si="14"/>
        <v>13.492999999999999</v>
      </c>
      <c r="K217" s="11">
        <f t="shared" si="15"/>
        <v>0.42844441621947732</v>
      </c>
      <c r="L217" s="5" t="str">
        <f>IF(VLOOKUP(B217,Orders!$A:$D,4,FALSE())="Vrátená",INDEX({"Nevyhovujúca veľkosť";"Poškodený tovar pri doprave";"Produkt nezodpovedal popisu";"Zákazník zmenil názor";"Neskoré doručenie";"Chybný/vadný kus";"Duplicitná objednávka"},MOD(CODE(LEFT(A217,1))+LEN(A217),7)+1),"")</f>
        <v/>
      </c>
    </row>
    <row r="218" spans="1:12" x14ac:dyDescent="0.3">
      <c r="A218" s="2" t="s">
        <v>564</v>
      </c>
      <c r="B218" s="2" t="s">
        <v>186</v>
      </c>
      <c r="C218" s="2" t="s">
        <v>439</v>
      </c>
      <c r="D218" s="2">
        <v>2</v>
      </c>
      <c r="E218" s="4">
        <f>VLOOKUP(C218,Products!$A:$E,4,FALSE())</f>
        <v>34.99</v>
      </c>
      <c r="F218" s="8">
        <v>0.2</v>
      </c>
      <c r="G218" s="4">
        <f t="shared" si="12"/>
        <v>27.992000000000004</v>
      </c>
      <c r="H218" s="4">
        <f>VLOOKUP(C218,Products!$A:$E,5,FALSE())</f>
        <v>13</v>
      </c>
      <c r="I218" s="4">
        <f t="shared" si="13"/>
        <v>55.984000000000009</v>
      </c>
      <c r="J218" s="4">
        <f t="shared" si="14"/>
        <v>29.984000000000009</v>
      </c>
      <c r="K218" s="9">
        <f t="shared" si="15"/>
        <v>0.53558159474135469</v>
      </c>
      <c r="L218" s="2" t="str">
        <f>IF(VLOOKUP(B218,Orders!$A:$D,4,FALSE())="Vrátená",INDEX({"Nevyhovujúca veľkosť";"Poškodený tovar pri doprave";"Produkt nezodpovedal popisu";"Zákazník zmenil názor";"Neskoré doručenie";"Chybný/vadný kus";"Duplicitná objednávka"},MOD(CODE(LEFT(A218,1))+LEN(A218),7)+1),"")</f>
        <v/>
      </c>
    </row>
    <row r="219" spans="1:12" x14ac:dyDescent="0.3">
      <c r="A219" s="5" t="s">
        <v>565</v>
      </c>
      <c r="B219" s="5" t="s">
        <v>186</v>
      </c>
      <c r="C219" s="5" t="s">
        <v>461</v>
      </c>
      <c r="D219" s="5">
        <v>1</v>
      </c>
      <c r="E219" s="7">
        <f>VLOOKUP(C219,Products!$A:$E,4,FALSE())</f>
        <v>64.989999999999995</v>
      </c>
      <c r="F219" s="10">
        <v>0.05</v>
      </c>
      <c r="G219" s="7">
        <f t="shared" si="12"/>
        <v>61.74049999999999</v>
      </c>
      <c r="H219" s="7">
        <f>VLOOKUP(C219,Products!$A:$E,5,FALSE())</f>
        <v>32</v>
      </c>
      <c r="I219" s="7">
        <f t="shared" si="13"/>
        <v>61.74049999999999</v>
      </c>
      <c r="J219" s="7">
        <f t="shared" si="14"/>
        <v>29.74049999999999</v>
      </c>
      <c r="K219" s="11">
        <f t="shared" si="15"/>
        <v>0.48170163830872759</v>
      </c>
      <c r="L219" s="5" t="str">
        <f>IF(VLOOKUP(B219,Orders!$A:$D,4,FALSE())="Vrátená",INDEX({"Nevyhovujúca veľkosť";"Poškodený tovar pri doprave";"Produkt nezodpovedal popisu";"Zákazník zmenil názor";"Neskoré doručenie";"Chybný/vadný kus";"Duplicitná objednávka"},MOD(CODE(LEFT(A219,1))+LEN(A219),7)+1),"")</f>
        <v/>
      </c>
    </row>
    <row r="220" spans="1:12" x14ac:dyDescent="0.3">
      <c r="A220" s="2" t="s">
        <v>566</v>
      </c>
      <c r="B220" s="2" t="s">
        <v>187</v>
      </c>
      <c r="C220" s="2" t="s">
        <v>320</v>
      </c>
      <c r="D220" s="2">
        <v>2</v>
      </c>
      <c r="E220" s="4">
        <f>VLOOKUP(C220,Products!$A:$E,4,FALSE())</f>
        <v>29.99</v>
      </c>
      <c r="F220" s="8">
        <v>0.05</v>
      </c>
      <c r="G220" s="4">
        <f t="shared" si="12"/>
        <v>28.490499999999997</v>
      </c>
      <c r="H220" s="4">
        <f>VLOOKUP(C220,Products!$A:$E,5,FALSE())</f>
        <v>12</v>
      </c>
      <c r="I220" s="4">
        <f t="shared" si="13"/>
        <v>56.980999999999995</v>
      </c>
      <c r="J220" s="4">
        <f t="shared" si="14"/>
        <v>32.980999999999995</v>
      </c>
      <c r="K220" s="9">
        <f t="shared" si="15"/>
        <v>0.57880697074463416</v>
      </c>
      <c r="L220" s="2" t="str">
        <f>IF(VLOOKUP(B220,Orders!$A:$D,4,FALSE())="Vrátená",INDEX({"Nevyhovujúca veľkosť";"Poškodený tovar pri doprave";"Produkt nezodpovedal popisu";"Zákazník zmenil názor";"Neskoré doručenie";"Chybný/vadný kus";"Duplicitná objednávka"},MOD(CODE(LEFT(A220,1))+LEN(A220),7)+1),"")</f>
        <v/>
      </c>
    </row>
    <row r="221" spans="1:12" x14ac:dyDescent="0.3">
      <c r="A221" s="5" t="s">
        <v>567</v>
      </c>
      <c r="B221" s="5" t="s">
        <v>187</v>
      </c>
      <c r="C221" s="5" t="s">
        <v>349</v>
      </c>
      <c r="D221" s="5">
        <v>1</v>
      </c>
      <c r="E221" s="7">
        <f>VLOOKUP(C221,Products!$A:$E,4,FALSE())</f>
        <v>24.99</v>
      </c>
      <c r="F221" s="10">
        <v>0</v>
      </c>
      <c r="G221" s="7">
        <f t="shared" si="12"/>
        <v>24.99</v>
      </c>
      <c r="H221" s="7">
        <f>VLOOKUP(C221,Products!$A:$E,5,FALSE())</f>
        <v>10.5</v>
      </c>
      <c r="I221" s="7">
        <f t="shared" si="13"/>
        <v>24.99</v>
      </c>
      <c r="J221" s="7">
        <f t="shared" si="14"/>
        <v>14.489999999999998</v>
      </c>
      <c r="K221" s="11">
        <f t="shared" si="15"/>
        <v>0.57983193277310918</v>
      </c>
      <c r="L221" s="5" t="str">
        <f>IF(VLOOKUP(B221,Orders!$A:$D,4,FALSE())="Vrátená",INDEX({"Nevyhovujúca veľkosť";"Poškodený tovar pri doprave";"Produkt nezodpovedal popisu";"Zákazník zmenil názor";"Neskoré doručenie";"Chybný/vadný kus";"Duplicitná objednávka"},MOD(CODE(LEFT(A221,1))+LEN(A221),7)+1),"")</f>
        <v/>
      </c>
    </row>
    <row r="222" spans="1:12" x14ac:dyDescent="0.3">
      <c r="A222" s="2" t="s">
        <v>568</v>
      </c>
      <c r="B222" s="2" t="s">
        <v>187</v>
      </c>
      <c r="C222" s="2" t="s">
        <v>308</v>
      </c>
      <c r="D222" s="2">
        <v>2</v>
      </c>
      <c r="E222" s="4">
        <f>VLOOKUP(C222,Products!$A:$E,4,FALSE())</f>
        <v>22.49</v>
      </c>
      <c r="F222" s="8">
        <v>0</v>
      </c>
      <c r="G222" s="4">
        <f t="shared" si="12"/>
        <v>22.49</v>
      </c>
      <c r="H222" s="4">
        <f>VLOOKUP(C222,Products!$A:$E,5,FALSE())</f>
        <v>9</v>
      </c>
      <c r="I222" s="4">
        <f t="shared" si="13"/>
        <v>44.98</v>
      </c>
      <c r="J222" s="4">
        <f t="shared" si="14"/>
        <v>26.979999999999997</v>
      </c>
      <c r="K222" s="9">
        <f t="shared" si="15"/>
        <v>0.59982214317474425</v>
      </c>
      <c r="L222" s="2" t="str">
        <f>IF(VLOOKUP(B222,Orders!$A:$D,4,FALSE())="Vrátená",INDEX({"Nevyhovujúca veľkosť";"Poškodený tovar pri doprave";"Produkt nezodpovedal popisu";"Zákazník zmenil názor";"Neskoré doručenie";"Chybný/vadný kus";"Duplicitná objednávka"},MOD(CODE(LEFT(A222,1))+LEN(A222),7)+1),"")</f>
        <v/>
      </c>
    </row>
    <row r="223" spans="1:12" x14ac:dyDescent="0.3">
      <c r="A223" s="5" t="s">
        <v>569</v>
      </c>
      <c r="B223" s="5" t="s">
        <v>188</v>
      </c>
      <c r="C223" s="5" t="s">
        <v>300</v>
      </c>
      <c r="D223" s="5">
        <v>1</v>
      </c>
      <c r="E223" s="7">
        <f>VLOOKUP(C223,Products!$A:$E,4,FALSE())</f>
        <v>39.99</v>
      </c>
      <c r="F223" s="10">
        <v>0</v>
      </c>
      <c r="G223" s="7">
        <f t="shared" si="12"/>
        <v>39.99</v>
      </c>
      <c r="H223" s="7">
        <f>VLOOKUP(C223,Products!$A:$E,5,FALSE())</f>
        <v>17</v>
      </c>
      <c r="I223" s="7">
        <f t="shared" si="13"/>
        <v>39.99</v>
      </c>
      <c r="J223" s="7">
        <f t="shared" si="14"/>
        <v>22.990000000000002</v>
      </c>
      <c r="K223" s="11">
        <f t="shared" si="15"/>
        <v>0.57489372343085776</v>
      </c>
      <c r="L223" s="5" t="str">
        <f>IF(VLOOKUP(B223,Orders!$A:$D,4,FALSE())="Vrátená",INDEX({"Nevyhovujúca veľkosť";"Poškodený tovar pri doprave";"Produkt nezodpovedal popisu";"Zákazník zmenil názor";"Neskoré doručenie";"Chybný/vadný kus";"Duplicitná objednávka"},MOD(CODE(LEFT(A223,1))+LEN(A223),7)+1),"")</f>
        <v/>
      </c>
    </row>
    <row r="224" spans="1:12" x14ac:dyDescent="0.3">
      <c r="A224" s="2" t="s">
        <v>570</v>
      </c>
      <c r="B224" s="2" t="s">
        <v>188</v>
      </c>
      <c r="C224" s="2" t="s">
        <v>432</v>
      </c>
      <c r="D224" s="2">
        <v>3</v>
      </c>
      <c r="E224" s="4">
        <f>VLOOKUP(C224,Products!$A:$E,4,FALSE())</f>
        <v>11.49</v>
      </c>
      <c r="F224" s="8">
        <v>0.05</v>
      </c>
      <c r="G224" s="4">
        <f t="shared" si="12"/>
        <v>10.9155</v>
      </c>
      <c r="H224" s="4">
        <f>VLOOKUP(C224,Products!$A:$E,5,FALSE())</f>
        <v>3.5</v>
      </c>
      <c r="I224" s="4">
        <f t="shared" si="13"/>
        <v>32.746499999999997</v>
      </c>
      <c r="J224" s="4">
        <f t="shared" si="14"/>
        <v>22.246499999999997</v>
      </c>
      <c r="K224" s="9">
        <f t="shared" si="15"/>
        <v>0.6793550455773899</v>
      </c>
      <c r="L224" s="2" t="str">
        <f>IF(VLOOKUP(B224,Orders!$A:$D,4,FALSE())="Vrátená",INDEX({"Nevyhovujúca veľkosť";"Poškodený tovar pri doprave";"Produkt nezodpovedal popisu";"Zákazník zmenil názor";"Neskoré doručenie";"Chybný/vadný kus";"Duplicitná objednávka"},MOD(CODE(LEFT(A224,1))+LEN(A224),7)+1),"")</f>
        <v/>
      </c>
    </row>
    <row r="225" spans="1:12" x14ac:dyDescent="0.3">
      <c r="A225" s="5" t="s">
        <v>571</v>
      </c>
      <c r="B225" s="5" t="s">
        <v>189</v>
      </c>
      <c r="C225" s="5" t="s">
        <v>361</v>
      </c>
      <c r="D225" s="5">
        <v>1</v>
      </c>
      <c r="E225" s="7">
        <f>VLOOKUP(C225,Products!$A:$E,4,FALSE())</f>
        <v>27.49</v>
      </c>
      <c r="F225" s="10">
        <v>0</v>
      </c>
      <c r="G225" s="7">
        <f t="shared" si="12"/>
        <v>27.49</v>
      </c>
      <c r="H225" s="7">
        <f>VLOOKUP(C225,Products!$A:$E,5,FALSE())</f>
        <v>11</v>
      </c>
      <c r="I225" s="7">
        <f t="shared" si="13"/>
        <v>27.49</v>
      </c>
      <c r="J225" s="7">
        <f t="shared" si="14"/>
        <v>16.489999999999998</v>
      </c>
      <c r="K225" s="11">
        <f t="shared" si="15"/>
        <v>0.59985449254274281</v>
      </c>
      <c r="L225" s="5" t="str">
        <f>IF(VLOOKUP(B225,Orders!$A:$D,4,FALSE())="Vrátená",INDEX({"Nevyhovujúca veľkosť";"Poškodený tovar pri doprave";"Produkt nezodpovedal popisu";"Zákazník zmenil názor";"Neskoré doručenie";"Chybný/vadný kus";"Duplicitná objednávka"},MOD(CODE(LEFT(A225,1))+LEN(A225),7)+1),"")</f>
        <v/>
      </c>
    </row>
    <row r="226" spans="1:12" x14ac:dyDescent="0.3">
      <c r="A226" s="2" t="s">
        <v>572</v>
      </c>
      <c r="B226" s="2" t="s">
        <v>189</v>
      </c>
      <c r="C226" s="2" t="s">
        <v>355</v>
      </c>
      <c r="D226" s="2">
        <v>2</v>
      </c>
      <c r="E226" s="4">
        <f>VLOOKUP(C226,Products!$A:$E,4,FALSE())</f>
        <v>27.99</v>
      </c>
      <c r="F226" s="8">
        <v>0.2</v>
      </c>
      <c r="G226" s="4">
        <f t="shared" si="12"/>
        <v>22.391999999999999</v>
      </c>
      <c r="H226" s="4">
        <f>VLOOKUP(C226,Products!$A:$E,5,FALSE())</f>
        <v>12</v>
      </c>
      <c r="I226" s="4">
        <f t="shared" si="13"/>
        <v>44.783999999999999</v>
      </c>
      <c r="J226" s="4">
        <f t="shared" si="14"/>
        <v>20.783999999999999</v>
      </c>
      <c r="K226" s="9">
        <f t="shared" si="15"/>
        <v>0.46409431939978563</v>
      </c>
      <c r="L226" s="2" t="str">
        <f>IF(VLOOKUP(B226,Orders!$A:$D,4,FALSE())="Vrátená",INDEX({"Nevyhovujúca veľkosť";"Poškodený tovar pri doprave";"Produkt nezodpovedal popisu";"Zákazník zmenil názor";"Neskoré doručenie";"Chybný/vadný kus";"Duplicitná objednávka"},MOD(CODE(LEFT(A226,1))+LEN(A226),7)+1),"")</f>
        <v/>
      </c>
    </row>
    <row r="227" spans="1:12" x14ac:dyDescent="0.3">
      <c r="A227" s="5" t="s">
        <v>573</v>
      </c>
      <c r="B227" s="5" t="s">
        <v>190</v>
      </c>
      <c r="C227" s="5" t="s">
        <v>367</v>
      </c>
      <c r="D227" s="5">
        <v>2</v>
      </c>
      <c r="E227" s="7">
        <f>VLOOKUP(C227,Products!$A:$E,4,FALSE())</f>
        <v>24.99</v>
      </c>
      <c r="F227" s="10">
        <v>0.05</v>
      </c>
      <c r="G227" s="7">
        <f t="shared" si="12"/>
        <v>23.740499999999997</v>
      </c>
      <c r="H227" s="7">
        <f>VLOOKUP(C227,Products!$A:$E,5,FALSE())</f>
        <v>9.5</v>
      </c>
      <c r="I227" s="7">
        <f t="shared" si="13"/>
        <v>47.480999999999995</v>
      </c>
      <c r="J227" s="7">
        <f t="shared" si="14"/>
        <v>28.480999999999995</v>
      </c>
      <c r="K227" s="11">
        <f t="shared" si="15"/>
        <v>0.59983993597438967</v>
      </c>
      <c r="L227" s="5" t="str">
        <f>IF(VLOOKUP(B227,Orders!$A:$D,4,FALSE())="Vrátená",INDEX({"Nevyhovujúca veľkosť";"Poškodený tovar pri doprave";"Produkt nezodpovedal popisu";"Zákazník zmenil názor";"Neskoré doručenie";"Chybný/vadný kus";"Duplicitná objednávka"},MOD(CODE(LEFT(A227,1))+LEN(A227),7)+1),"")</f>
        <v/>
      </c>
    </row>
    <row r="228" spans="1:12" x14ac:dyDescent="0.3">
      <c r="A228" s="2" t="s">
        <v>574</v>
      </c>
      <c r="B228" s="2" t="s">
        <v>190</v>
      </c>
      <c r="C228" s="2" t="s">
        <v>328</v>
      </c>
      <c r="D228" s="2">
        <v>2</v>
      </c>
      <c r="E228" s="4">
        <f>VLOOKUP(C228,Products!$A:$E,4,FALSE())</f>
        <v>7.49</v>
      </c>
      <c r="F228" s="8">
        <v>0.15</v>
      </c>
      <c r="G228" s="4">
        <f t="shared" si="12"/>
        <v>6.3665000000000003</v>
      </c>
      <c r="H228" s="4">
        <f>VLOOKUP(C228,Products!$A:$E,5,FALSE())</f>
        <v>2</v>
      </c>
      <c r="I228" s="4">
        <f t="shared" si="13"/>
        <v>12.733000000000001</v>
      </c>
      <c r="J228" s="4">
        <f t="shared" si="14"/>
        <v>8.7330000000000005</v>
      </c>
      <c r="K228" s="9">
        <f t="shared" si="15"/>
        <v>0.68585565067148357</v>
      </c>
      <c r="L228" s="2" t="str">
        <f>IF(VLOOKUP(B228,Orders!$A:$D,4,FALSE())="Vrátená",INDEX({"Nevyhovujúca veľkosť";"Poškodený tovar pri doprave";"Produkt nezodpovedal popisu";"Zákazník zmenil názor";"Neskoré doručenie";"Chybný/vadný kus";"Duplicitná objednávka"},MOD(CODE(LEFT(A228,1))+LEN(A228),7)+1),"")</f>
        <v/>
      </c>
    </row>
    <row r="229" spans="1:12" x14ac:dyDescent="0.3">
      <c r="A229" s="5" t="s">
        <v>575</v>
      </c>
      <c r="B229" s="5" t="s">
        <v>191</v>
      </c>
      <c r="C229" s="5" t="s">
        <v>359</v>
      </c>
      <c r="D229" s="5">
        <v>1</v>
      </c>
      <c r="E229" s="7">
        <f>VLOOKUP(C229,Products!$A:$E,4,FALSE())</f>
        <v>16.989999999999998</v>
      </c>
      <c r="F229" s="10">
        <v>0.1</v>
      </c>
      <c r="G229" s="7">
        <f t="shared" si="12"/>
        <v>15.290999999999999</v>
      </c>
      <c r="H229" s="7">
        <f>VLOOKUP(C229,Products!$A:$E,5,FALSE())</f>
        <v>6</v>
      </c>
      <c r="I229" s="7">
        <f t="shared" si="13"/>
        <v>15.290999999999999</v>
      </c>
      <c r="J229" s="7">
        <f t="shared" si="14"/>
        <v>9.2909999999999986</v>
      </c>
      <c r="K229" s="11">
        <f t="shared" si="15"/>
        <v>0.60761232097312146</v>
      </c>
      <c r="L229" s="5" t="str">
        <f>IF(VLOOKUP(B229,Orders!$A:$D,4,FALSE())="Vrátená",INDEX({"Nevyhovujúca veľkosť";"Poškodený tovar pri doprave";"Produkt nezodpovedal popisu";"Zákazník zmenil názor";"Neskoré doručenie";"Chybný/vadný kus";"Duplicitná objednávka"},MOD(CODE(LEFT(A229,1))+LEN(A229),7)+1),"")</f>
        <v/>
      </c>
    </row>
    <row r="230" spans="1:12" x14ac:dyDescent="0.3">
      <c r="A230" s="2" t="s">
        <v>576</v>
      </c>
      <c r="B230" s="2" t="s">
        <v>191</v>
      </c>
      <c r="C230" s="2" t="s">
        <v>347</v>
      </c>
      <c r="D230" s="2">
        <v>1</v>
      </c>
      <c r="E230" s="4">
        <f>VLOOKUP(C230,Products!$A:$E,4,FALSE())</f>
        <v>18.989999999999998</v>
      </c>
      <c r="F230" s="8">
        <v>0.3</v>
      </c>
      <c r="G230" s="4">
        <f t="shared" si="12"/>
        <v>13.292999999999997</v>
      </c>
      <c r="H230" s="4">
        <f>VLOOKUP(C230,Products!$A:$E,5,FALSE())</f>
        <v>7.5</v>
      </c>
      <c r="I230" s="4">
        <f t="shared" si="13"/>
        <v>13.292999999999997</v>
      </c>
      <c r="J230" s="4">
        <f t="shared" si="14"/>
        <v>5.7929999999999975</v>
      </c>
      <c r="K230" s="9">
        <f t="shared" si="15"/>
        <v>0.43579327465583378</v>
      </c>
      <c r="L230" s="2" t="str">
        <f>IF(VLOOKUP(B230,Orders!$A:$D,4,FALSE())="Vrátená",INDEX({"Nevyhovujúca veľkosť";"Poškodený tovar pri doprave";"Produkt nezodpovedal popisu";"Zákazník zmenil názor";"Neskoré doručenie";"Chybný/vadný kus";"Duplicitná objednávka"},MOD(CODE(LEFT(A230,1))+LEN(A230),7)+1),"")</f>
        <v/>
      </c>
    </row>
    <row r="231" spans="1:12" x14ac:dyDescent="0.3">
      <c r="A231" s="5" t="s">
        <v>577</v>
      </c>
      <c r="B231" s="5" t="s">
        <v>192</v>
      </c>
      <c r="C231" s="5" t="s">
        <v>461</v>
      </c>
      <c r="D231" s="5">
        <v>1</v>
      </c>
      <c r="E231" s="7">
        <f>VLOOKUP(C231,Products!$A:$E,4,FALSE())</f>
        <v>64.989999999999995</v>
      </c>
      <c r="F231" s="10">
        <v>0.2</v>
      </c>
      <c r="G231" s="7">
        <f t="shared" si="12"/>
        <v>51.991999999999997</v>
      </c>
      <c r="H231" s="7">
        <f>VLOOKUP(C231,Products!$A:$E,5,FALSE())</f>
        <v>32</v>
      </c>
      <c r="I231" s="7">
        <f t="shared" si="13"/>
        <v>51.991999999999997</v>
      </c>
      <c r="J231" s="7">
        <f t="shared" si="14"/>
        <v>19.991999999999997</v>
      </c>
      <c r="K231" s="11">
        <f t="shared" si="15"/>
        <v>0.38452069549161405</v>
      </c>
      <c r="L231" s="5" t="str">
        <f>IF(VLOOKUP(B231,Orders!$A:$D,4,FALSE())="Vrátená",INDEX({"Nevyhovujúca veľkosť";"Poškodený tovar pri doprave";"Produkt nezodpovedal popisu";"Zákazník zmenil názor";"Neskoré doručenie";"Chybný/vadný kus";"Duplicitná objednávka"},MOD(CODE(LEFT(A231,1))+LEN(A231),7)+1),"")</f>
        <v/>
      </c>
    </row>
    <row r="232" spans="1:12" x14ac:dyDescent="0.3">
      <c r="A232" s="2" t="s">
        <v>578</v>
      </c>
      <c r="B232" s="2" t="s">
        <v>193</v>
      </c>
      <c r="C232" s="2" t="s">
        <v>428</v>
      </c>
      <c r="D232" s="2">
        <v>5</v>
      </c>
      <c r="E232" s="4">
        <f>VLOOKUP(C232,Products!$A:$E,4,FALSE())</f>
        <v>10.49</v>
      </c>
      <c r="F232" s="8">
        <v>0.2</v>
      </c>
      <c r="G232" s="4">
        <f t="shared" si="12"/>
        <v>8.3920000000000012</v>
      </c>
      <c r="H232" s="4">
        <f>VLOOKUP(C232,Products!$A:$E,5,FALSE())</f>
        <v>3.5</v>
      </c>
      <c r="I232" s="4">
        <f t="shared" si="13"/>
        <v>41.960000000000008</v>
      </c>
      <c r="J232" s="4">
        <f t="shared" si="14"/>
        <v>24.460000000000008</v>
      </c>
      <c r="K232" s="9">
        <f t="shared" si="15"/>
        <v>0.58293612964728325</v>
      </c>
      <c r="L232" s="2" t="str">
        <f>IF(VLOOKUP(B232,Orders!$A:$D,4,FALSE())="Vrátená",INDEX({"Nevyhovujúca veľkosť";"Poškodený tovar pri doprave";"Produkt nezodpovedal popisu";"Zákazník zmenil názor";"Neskoré doručenie";"Chybný/vadný kus";"Duplicitná objednávka"},MOD(CODE(LEFT(A232,1))+LEN(A232),7)+1),"")</f>
        <v/>
      </c>
    </row>
    <row r="233" spans="1:12" x14ac:dyDescent="0.3">
      <c r="A233" s="5" t="s">
        <v>579</v>
      </c>
      <c r="B233" s="5" t="s">
        <v>193</v>
      </c>
      <c r="C233" s="5" t="s">
        <v>308</v>
      </c>
      <c r="D233" s="5">
        <v>1</v>
      </c>
      <c r="E233" s="7">
        <f>VLOOKUP(C233,Products!$A:$E,4,FALSE())</f>
        <v>22.49</v>
      </c>
      <c r="F233" s="10">
        <v>0</v>
      </c>
      <c r="G233" s="7">
        <f t="shared" si="12"/>
        <v>22.49</v>
      </c>
      <c r="H233" s="7">
        <f>VLOOKUP(C233,Products!$A:$E,5,FALSE())</f>
        <v>9</v>
      </c>
      <c r="I233" s="7">
        <f t="shared" si="13"/>
        <v>22.49</v>
      </c>
      <c r="J233" s="7">
        <f t="shared" si="14"/>
        <v>13.489999999999998</v>
      </c>
      <c r="K233" s="11">
        <f t="shared" si="15"/>
        <v>0.59982214317474425</v>
      </c>
      <c r="L233" s="5" t="str">
        <f>IF(VLOOKUP(B233,Orders!$A:$D,4,FALSE())="Vrátená",INDEX({"Nevyhovujúca veľkosť";"Poškodený tovar pri doprave";"Produkt nezodpovedal popisu";"Zákazník zmenil názor";"Neskoré doručenie";"Chybný/vadný kus";"Duplicitná objednávka"},MOD(CODE(LEFT(A233,1))+LEN(A233),7)+1),"")</f>
        <v/>
      </c>
    </row>
    <row r="234" spans="1:12" x14ac:dyDescent="0.3">
      <c r="A234" s="2" t="s">
        <v>580</v>
      </c>
      <c r="B234" s="2" t="s">
        <v>194</v>
      </c>
      <c r="C234" s="2" t="s">
        <v>352</v>
      </c>
      <c r="D234" s="2">
        <v>2</v>
      </c>
      <c r="E234" s="4">
        <f>VLOOKUP(C234,Products!$A:$E,4,FALSE())</f>
        <v>189.99</v>
      </c>
      <c r="F234" s="8">
        <v>0.15</v>
      </c>
      <c r="G234" s="4">
        <f t="shared" si="12"/>
        <v>161.4915</v>
      </c>
      <c r="H234" s="4">
        <f>VLOOKUP(C234,Products!$A:$E,5,FALSE())</f>
        <v>110</v>
      </c>
      <c r="I234" s="4">
        <f t="shared" si="13"/>
        <v>322.983</v>
      </c>
      <c r="J234" s="4">
        <f t="shared" si="14"/>
        <v>102.983</v>
      </c>
      <c r="K234" s="9">
        <f t="shared" si="15"/>
        <v>0.3188495988952979</v>
      </c>
      <c r="L234" s="2" t="str">
        <f>IF(VLOOKUP(B234,Orders!$A:$D,4,FALSE())="Vrátená",INDEX({"Nevyhovujúca veľkosť";"Poškodený tovar pri doprave";"Produkt nezodpovedal popisu";"Zákazník zmenil názor";"Neskoré doručenie";"Chybný/vadný kus";"Duplicitná objednávka"},MOD(CODE(LEFT(A234,1))+LEN(A234),7)+1),"")</f>
        <v/>
      </c>
    </row>
    <row r="235" spans="1:12" x14ac:dyDescent="0.3">
      <c r="A235" s="5" t="s">
        <v>581</v>
      </c>
      <c r="B235" s="5" t="s">
        <v>194</v>
      </c>
      <c r="C235" s="5" t="s">
        <v>345</v>
      </c>
      <c r="D235" s="5">
        <v>3</v>
      </c>
      <c r="E235" s="7">
        <f>VLOOKUP(C235,Products!$A:$E,4,FALSE())</f>
        <v>13.49</v>
      </c>
      <c r="F235" s="10">
        <v>0</v>
      </c>
      <c r="G235" s="7">
        <f t="shared" si="12"/>
        <v>13.49</v>
      </c>
      <c r="H235" s="7">
        <f>VLOOKUP(C235,Products!$A:$E,5,FALSE())</f>
        <v>4.5</v>
      </c>
      <c r="I235" s="7">
        <f t="shared" si="13"/>
        <v>40.47</v>
      </c>
      <c r="J235" s="7">
        <f t="shared" si="14"/>
        <v>26.97</v>
      </c>
      <c r="K235" s="11">
        <f t="shared" si="15"/>
        <v>0.66641957005189023</v>
      </c>
      <c r="L235" s="5" t="str">
        <f>IF(VLOOKUP(B235,Orders!$A:$D,4,FALSE())="Vrátená",INDEX({"Nevyhovujúca veľkosť";"Poškodený tovar pri doprave";"Produkt nezodpovedal popisu";"Zákazník zmenil názor";"Neskoré doručenie";"Chybný/vadný kus";"Duplicitná objednávka"},MOD(CODE(LEFT(A235,1))+LEN(A235),7)+1),"")</f>
        <v/>
      </c>
    </row>
    <row r="236" spans="1:12" x14ac:dyDescent="0.3">
      <c r="A236" s="2" t="s">
        <v>582</v>
      </c>
      <c r="B236" s="2" t="s">
        <v>195</v>
      </c>
      <c r="C236" s="2" t="s">
        <v>342</v>
      </c>
      <c r="D236" s="2">
        <v>2</v>
      </c>
      <c r="E236" s="4">
        <f>VLOOKUP(C236,Products!$A:$E,4,FALSE())</f>
        <v>29.99</v>
      </c>
      <c r="F236" s="8">
        <v>0.3</v>
      </c>
      <c r="G236" s="4">
        <f t="shared" si="12"/>
        <v>20.992999999999999</v>
      </c>
      <c r="H236" s="4">
        <f>VLOOKUP(C236,Products!$A:$E,5,FALSE())</f>
        <v>12.5</v>
      </c>
      <c r="I236" s="4">
        <f t="shared" si="13"/>
        <v>41.985999999999997</v>
      </c>
      <c r="J236" s="4">
        <f t="shared" si="14"/>
        <v>16.985999999999997</v>
      </c>
      <c r="K236" s="9">
        <f t="shared" si="15"/>
        <v>0.40456342590387268</v>
      </c>
      <c r="L236" s="2" t="str">
        <f>IF(VLOOKUP(B236,Orders!$A:$D,4,FALSE())="Vrátená",INDEX({"Nevyhovujúca veľkosť";"Poškodený tovar pri doprave";"Produkt nezodpovedal popisu";"Zákazník zmenil názor";"Neskoré doručenie";"Chybný/vadný kus";"Duplicitná objednávka"},MOD(CODE(LEFT(A236,1))+LEN(A236),7)+1),"")</f>
        <v/>
      </c>
    </row>
    <row r="237" spans="1:12" x14ac:dyDescent="0.3">
      <c r="A237" s="5" t="s">
        <v>583</v>
      </c>
      <c r="B237" s="5" t="s">
        <v>195</v>
      </c>
      <c r="C237" s="5" t="s">
        <v>426</v>
      </c>
      <c r="D237" s="5">
        <v>2</v>
      </c>
      <c r="E237" s="7">
        <f>VLOOKUP(C237,Products!$A:$E,4,FALSE())</f>
        <v>6.99</v>
      </c>
      <c r="F237" s="10">
        <v>0</v>
      </c>
      <c r="G237" s="7">
        <f t="shared" si="12"/>
        <v>6.99</v>
      </c>
      <c r="H237" s="7">
        <f>VLOOKUP(C237,Products!$A:$E,5,FALSE())</f>
        <v>2</v>
      </c>
      <c r="I237" s="7">
        <f t="shared" si="13"/>
        <v>13.98</v>
      </c>
      <c r="J237" s="7">
        <f t="shared" si="14"/>
        <v>9.98</v>
      </c>
      <c r="K237" s="11">
        <f t="shared" si="15"/>
        <v>0.71387696709585124</v>
      </c>
      <c r="L237" s="5" t="str">
        <f>IF(VLOOKUP(B237,Orders!$A:$D,4,FALSE())="Vrátená",INDEX({"Nevyhovujúca veľkosť";"Poškodený tovar pri doprave";"Produkt nezodpovedal popisu";"Zákazník zmenil názor";"Neskoré doručenie";"Chybný/vadný kus";"Duplicitná objednávka"},MOD(CODE(LEFT(A237,1))+LEN(A237),7)+1),"")</f>
        <v/>
      </c>
    </row>
    <row r="238" spans="1:12" x14ac:dyDescent="0.3">
      <c r="A238" s="2" t="s">
        <v>584</v>
      </c>
      <c r="B238" s="2" t="s">
        <v>195</v>
      </c>
      <c r="C238" s="2" t="s">
        <v>340</v>
      </c>
      <c r="D238" s="2">
        <v>3</v>
      </c>
      <c r="E238" s="4">
        <f>VLOOKUP(C238,Products!$A:$E,4,FALSE())</f>
        <v>44.99</v>
      </c>
      <c r="F238" s="8">
        <v>0.1</v>
      </c>
      <c r="G238" s="4">
        <f t="shared" si="12"/>
        <v>40.491</v>
      </c>
      <c r="H238" s="4">
        <f>VLOOKUP(C238,Products!$A:$E,5,FALSE())</f>
        <v>18</v>
      </c>
      <c r="I238" s="4">
        <f t="shared" si="13"/>
        <v>121.473</v>
      </c>
      <c r="J238" s="4">
        <f t="shared" si="14"/>
        <v>67.472999999999999</v>
      </c>
      <c r="K238" s="9">
        <f t="shared" si="15"/>
        <v>0.55545676817070455</v>
      </c>
      <c r="L238" s="2" t="str">
        <f>IF(VLOOKUP(B238,Orders!$A:$D,4,FALSE())="Vrátená",INDEX({"Nevyhovujúca veľkosť";"Poškodený tovar pri doprave";"Produkt nezodpovedal popisu";"Zákazník zmenil názor";"Neskoré doručenie";"Chybný/vadný kus";"Duplicitná objednávka"},MOD(CODE(LEFT(A238,1))+LEN(A238),7)+1),"")</f>
        <v/>
      </c>
    </row>
    <row r="239" spans="1:12" x14ac:dyDescent="0.3">
      <c r="A239" s="5" t="s">
        <v>585</v>
      </c>
      <c r="B239" s="5" t="s">
        <v>196</v>
      </c>
      <c r="C239" s="5" t="s">
        <v>432</v>
      </c>
      <c r="D239" s="5">
        <v>2</v>
      </c>
      <c r="E239" s="7">
        <f>VLOOKUP(C239,Products!$A:$E,4,FALSE())</f>
        <v>11.49</v>
      </c>
      <c r="F239" s="10">
        <v>0.1</v>
      </c>
      <c r="G239" s="7">
        <f t="shared" si="12"/>
        <v>10.341000000000001</v>
      </c>
      <c r="H239" s="7">
        <f>VLOOKUP(C239,Products!$A:$E,5,FALSE())</f>
        <v>3.5</v>
      </c>
      <c r="I239" s="7">
        <f t="shared" si="13"/>
        <v>20.682000000000002</v>
      </c>
      <c r="J239" s="7">
        <f t="shared" si="14"/>
        <v>13.682000000000002</v>
      </c>
      <c r="K239" s="11">
        <f t="shared" si="15"/>
        <v>0.6615414369983561</v>
      </c>
      <c r="L239" s="5" t="str">
        <f>IF(VLOOKUP(B239,Orders!$A:$D,4,FALSE())="Vrátená",INDEX({"Nevyhovujúca veľkosť";"Poškodený tovar pri doprave";"Produkt nezodpovedal popisu";"Zákazník zmenil názor";"Neskoré doručenie";"Chybný/vadný kus";"Duplicitná objednávka"},MOD(CODE(LEFT(A239,1))+LEN(A239),7)+1),"")</f>
        <v/>
      </c>
    </row>
    <row r="240" spans="1:12" x14ac:dyDescent="0.3">
      <c r="A240" s="2" t="s">
        <v>586</v>
      </c>
      <c r="B240" s="2" t="s">
        <v>196</v>
      </c>
      <c r="C240" s="2" t="s">
        <v>442</v>
      </c>
      <c r="D240" s="2">
        <v>1</v>
      </c>
      <c r="E240" s="4">
        <f>VLOOKUP(C240,Products!$A:$E,4,FALSE())</f>
        <v>8.99</v>
      </c>
      <c r="F240" s="8">
        <v>0.2</v>
      </c>
      <c r="G240" s="4">
        <f t="shared" si="12"/>
        <v>7.1920000000000002</v>
      </c>
      <c r="H240" s="4">
        <f>VLOOKUP(C240,Products!$A:$E,5,FALSE())</f>
        <v>3</v>
      </c>
      <c r="I240" s="4">
        <f t="shared" si="13"/>
        <v>7.1920000000000002</v>
      </c>
      <c r="J240" s="4">
        <f t="shared" si="14"/>
        <v>4.1920000000000002</v>
      </c>
      <c r="K240" s="9">
        <f t="shared" si="15"/>
        <v>0.58286985539488323</v>
      </c>
      <c r="L240" s="2" t="str">
        <f>IF(VLOOKUP(B240,Orders!$A:$D,4,FALSE())="Vrátená",INDEX({"Nevyhovujúca veľkosť";"Poškodený tovar pri doprave";"Produkt nezodpovedal popisu";"Zákazník zmenil názor";"Neskoré doručenie";"Chybný/vadný kus";"Duplicitná objednávka"},MOD(CODE(LEFT(A240,1))+LEN(A240),7)+1),"")</f>
        <v/>
      </c>
    </row>
    <row r="241" spans="1:12" x14ac:dyDescent="0.3">
      <c r="A241" s="5" t="s">
        <v>587</v>
      </c>
      <c r="B241" s="5" t="s">
        <v>197</v>
      </c>
      <c r="C241" s="5" t="s">
        <v>306</v>
      </c>
      <c r="D241" s="5">
        <v>2</v>
      </c>
      <c r="E241" s="7">
        <f>VLOOKUP(C241,Products!$A:$E,4,FALSE())</f>
        <v>34.99</v>
      </c>
      <c r="F241" s="10">
        <v>0</v>
      </c>
      <c r="G241" s="7">
        <f t="shared" si="12"/>
        <v>34.99</v>
      </c>
      <c r="H241" s="7">
        <f>VLOOKUP(C241,Products!$A:$E,5,FALSE())</f>
        <v>15</v>
      </c>
      <c r="I241" s="7">
        <f t="shared" si="13"/>
        <v>69.98</v>
      </c>
      <c r="J241" s="7">
        <f t="shared" si="14"/>
        <v>39.980000000000004</v>
      </c>
      <c r="K241" s="11">
        <f t="shared" si="15"/>
        <v>0.57130608745355815</v>
      </c>
      <c r="L241" s="5" t="str">
        <f>IF(VLOOKUP(B241,Orders!$A:$D,4,FALSE())="Vrátená",INDEX({"Nevyhovujúca veľkosť";"Poškodený tovar pri doprave";"Produkt nezodpovedal popisu";"Zákazník zmenil názor";"Neskoré doručenie";"Chybný/vadný kus";"Duplicitná objednávka"},MOD(CODE(LEFT(A241,1))+LEN(A241),7)+1),"")</f>
        <v/>
      </c>
    </row>
    <row r="242" spans="1:12" x14ac:dyDescent="0.3">
      <c r="A242" s="2" t="s">
        <v>588</v>
      </c>
      <c r="B242" s="2" t="s">
        <v>197</v>
      </c>
      <c r="C242" s="2" t="s">
        <v>428</v>
      </c>
      <c r="D242" s="2">
        <v>1</v>
      </c>
      <c r="E242" s="4">
        <f>VLOOKUP(C242,Products!$A:$E,4,FALSE())</f>
        <v>10.49</v>
      </c>
      <c r="F242" s="8">
        <v>0.2</v>
      </c>
      <c r="G242" s="4">
        <f t="shared" si="12"/>
        <v>8.3920000000000012</v>
      </c>
      <c r="H242" s="4">
        <f>VLOOKUP(C242,Products!$A:$E,5,FALSE())</f>
        <v>3.5</v>
      </c>
      <c r="I242" s="4">
        <f t="shared" si="13"/>
        <v>8.3920000000000012</v>
      </c>
      <c r="J242" s="4">
        <f t="shared" si="14"/>
        <v>4.8920000000000012</v>
      </c>
      <c r="K242" s="9">
        <f t="shared" si="15"/>
        <v>0.58293612964728314</v>
      </c>
      <c r="L242" s="2" t="str">
        <f>IF(VLOOKUP(B242,Orders!$A:$D,4,FALSE())="Vrátená",INDEX({"Nevyhovujúca veľkosť";"Poškodený tovar pri doprave";"Produkt nezodpovedal popisu";"Zákazník zmenil názor";"Neskoré doručenie";"Chybný/vadný kus";"Duplicitná objednávka"},MOD(CODE(LEFT(A242,1))+LEN(A242),7)+1),"")</f>
        <v/>
      </c>
    </row>
    <row r="243" spans="1:12" x14ac:dyDescent="0.3">
      <c r="A243" s="5" t="s">
        <v>589</v>
      </c>
      <c r="B243" s="5" t="s">
        <v>197</v>
      </c>
      <c r="C243" s="5" t="s">
        <v>345</v>
      </c>
      <c r="D243" s="5">
        <v>2</v>
      </c>
      <c r="E243" s="7">
        <f>VLOOKUP(C243,Products!$A:$E,4,FALSE())</f>
        <v>13.49</v>
      </c>
      <c r="F243" s="10">
        <v>0</v>
      </c>
      <c r="G243" s="7">
        <f t="shared" si="12"/>
        <v>13.49</v>
      </c>
      <c r="H243" s="7">
        <f>VLOOKUP(C243,Products!$A:$E,5,FALSE())</f>
        <v>4.5</v>
      </c>
      <c r="I243" s="7">
        <f t="shared" si="13"/>
        <v>26.98</v>
      </c>
      <c r="J243" s="7">
        <f t="shared" si="14"/>
        <v>17.98</v>
      </c>
      <c r="K243" s="11">
        <f t="shared" si="15"/>
        <v>0.66641957005189034</v>
      </c>
      <c r="L243" s="5" t="str">
        <f>IF(VLOOKUP(B243,Orders!$A:$D,4,FALSE())="Vrátená",INDEX({"Nevyhovujúca veľkosť";"Poškodený tovar pri doprave";"Produkt nezodpovedal popisu";"Zákazník zmenil názor";"Neskoré doručenie";"Chybný/vadný kus";"Duplicitná objednávka"},MOD(CODE(LEFT(A243,1))+LEN(A243),7)+1),"")</f>
        <v/>
      </c>
    </row>
    <row r="244" spans="1:12" x14ac:dyDescent="0.3">
      <c r="A244" s="2" t="s">
        <v>590</v>
      </c>
      <c r="B244" s="2" t="s">
        <v>198</v>
      </c>
      <c r="C244" s="2" t="s">
        <v>352</v>
      </c>
      <c r="D244" s="2">
        <v>4</v>
      </c>
      <c r="E244" s="4">
        <f>VLOOKUP(C244,Products!$A:$E,4,FALSE())</f>
        <v>189.99</v>
      </c>
      <c r="F244" s="8">
        <v>0.1</v>
      </c>
      <c r="G244" s="4">
        <f t="shared" si="12"/>
        <v>170.99100000000001</v>
      </c>
      <c r="H244" s="4">
        <f>VLOOKUP(C244,Products!$A:$E,5,FALSE())</f>
        <v>110</v>
      </c>
      <c r="I244" s="4">
        <f t="shared" si="13"/>
        <v>683.96400000000006</v>
      </c>
      <c r="J244" s="4">
        <f t="shared" si="14"/>
        <v>243.96400000000006</v>
      </c>
      <c r="K244" s="9">
        <f t="shared" si="15"/>
        <v>0.3566912878455592</v>
      </c>
      <c r="L244" s="2" t="str">
        <f>IF(VLOOKUP(B244,Orders!$A:$D,4,FALSE())="Vrátená",INDEX({"Nevyhovujúca veľkosť";"Poškodený tovar pri doprave";"Produkt nezodpovedal popisu";"Zákazník zmenil názor";"Neskoré doručenie";"Chybný/vadný kus";"Duplicitná objednávka"},MOD(CODE(LEFT(A244,1))+LEN(A244),7)+1),"")</f>
        <v/>
      </c>
    </row>
    <row r="245" spans="1:12" x14ac:dyDescent="0.3">
      <c r="A245" s="5" t="s">
        <v>591</v>
      </c>
      <c r="B245" s="5" t="s">
        <v>198</v>
      </c>
      <c r="C245" s="5" t="s">
        <v>328</v>
      </c>
      <c r="D245" s="5">
        <v>1</v>
      </c>
      <c r="E245" s="7">
        <f>VLOOKUP(C245,Products!$A:$E,4,FALSE())</f>
        <v>7.49</v>
      </c>
      <c r="F245" s="10">
        <v>0.15</v>
      </c>
      <c r="G245" s="7">
        <f t="shared" si="12"/>
        <v>6.3665000000000003</v>
      </c>
      <c r="H245" s="7">
        <f>VLOOKUP(C245,Products!$A:$E,5,FALSE())</f>
        <v>2</v>
      </c>
      <c r="I245" s="7">
        <f t="shared" si="13"/>
        <v>6.3665000000000003</v>
      </c>
      <c r="J245" s="7">
        <f t="shared" si="14"/>
        <v>4.3665000000000003</v>
      </c>
      <c r="K245" s="11">
        <f t="shared" si="15"/>
        <v>0.68585565067148357</v>
      </c>
      <c r="L245" s="5" t="str">
        <f>IF(VLOOKUP(B245,Orders!$A:$D,4,FALSE())="Vrátená",INDEX({"Nevyhovujúca veľkosť";"Poškodený tovar pri doprave";"Produkt nezodpovedal popisu";"Zákazník zmenil názor";"Neskoré doručenie";"Chybný/vadný kus";"Duplicitná objednávka"},MOD(CODE(LEFT(A245,1))+LEN(A245),7)+1),"")</f>
        <v/>
      </c>
    </row>
    <row r="246" spans="1:12" x14ac:dyDescent="0.3">
      <c r="A246" s="2" t="s">
        <v>592</v>
      </c>
      <c r="B246" s="2" t="s">
        <v>199</v>
      </c>
      <c r="C246" s="2" t="s">
        <v>332</v>
      </c>
      <c r="D246" s="2">
        <v>1</v>
      </c>
      <c r="E246" s="4">
        <f>VLOOKUP(C246,Products!$A:$E,4,FALSE())</f>
        <v>14.99</v>
      </c>
      <c r="F246" s="8">
        <v>0</v>
      </c>
      <c r="G246" s="4">
        <f t="shared" si="12"/>
        <v>14.99</v>
      </c>
      <c r="H246" s="4">
        <f>VLOOKUP(C246,Products!$A:$E,5,FALSE())</f>
        <v>5</v>
      </c>
      <c r="I246" s="4">
        <f t="shared" si="13"/>
        <v>14.99</v>
      </c>
      <c r="J246" s="4">
        <f t="shared" si="14"/>
        <v>9.99</v>
      </c>
      <c r="K246" s="9">
        <f t="shared" si="15"/>
        <v>0.66644429619746504</v>
      </c>
      <c r="L246" s="2" t="str">
        <f>IF(VLOOKUP(B246,Orders!$A:$D,4,FALSE())="Vrátená",INDEX({"Nevyhovujúca veľkosť";"Poškodený tovar pri doprave";"Produkt nezodpovedal popisu";"Zákazník zmenil názor";"Neskoré doručenie";"Chybný/vadný kus";"Duplicitná objednávka"},MOD(CODE(LEFT(A246,1))+LEN(A246),7)+1),"")</f>
        <v/>
      </c>
    </row>
    <row r="247" spans="1:12" x14ac:dyDescent="0.3">
      <c r="A247" s="5" t="s">
        <v>593</v>
      </c>
      <c r="B247" s="5" t="s">
        <v>199</v>
      </c>
      <c r="C247" s="5" t="s">
        <v>318</v>
      </c>
      <c r="D247" s="5">
        <v>3</v>
      </c>
      <c r="E247" s="7">
        <f>VLOOKUP(C247,Products!$A:$E,4,FALSE())</f>
        <v>29.99</v>
      </c>
      <c r="F247" s="10">
        <v>0.1</v>
      </c>
      <c r="G247" s="7">
        <f t="shared" si="12"/>
        <v>26.991</v>
      </c>
      <c r="H247" s="7">
        <f>VLOOKUP(C247,Products!$A:$E,5,FALSE())</f>
        <v>13</v>
      </c>
      <c r="I247" s="7">
        <f t="shared" si="13"/>
        <v>80.972999999999999</v>
      </c>
      <c r="J247" s="7">
        <f t="shared" si="14"/>
        <v>41.972999999999999</v>
      </c>
      <c r="K247" s="11">
        <f t="shared" si="15"/>
        <v>0.51835797117557703</v>
      </c>
      <c r="L247" s="5" t="str">
        <f>IF(VLOOKUP(B247,Orders!$A:$D,4,FALSE())="Vrátená",INDEX({"Nevyhovujúca veľkosť";"Poškodený tovar pri doprave";"Produkt nezodpovedal popisu";"Zákazník zmenil názor";"Neskoré doručenie";"Chybný/vadný kus";"Duplicitná objednávka"},MOD(CODE(LEFT(A247,1))+LEN(A247),7)+1),"")</f>
        <v/>
      </c>
    </row>
    <row r="248" spans="1:12" x14ac:dyDescent="0.3">
      <c r="A248" s="2" t="s">
        <v>594</v>
      </c>
      <c r="B248" s="2" t="s">
        <v>199</v>
      </c>
      <c r="C248" s="2" t="s">
        <v>320</v>
      </c>
      <c r="D248" s="2">
        <v>1</v>
      </c>
      <c r="E248" s="4">
        <f>VLOOKUP(C248,Products!$A:$E,4,FALSE())</f>
        <v>29.99</v>
      </c>
      <c r="F248" s="8">
        <v>0</v>
      </c>
      <c r="G248" s="4">
        <f t="shared" si="12"/>
        <v>29.99</v>
      </c>
      <c r="H248" s="4">
        <f>VLOOKUP(C248,Products!$A:$E,5,FALSE())</f>
        <v>12</v>
      </c>
      <c r="I248" s="4">
        <f t="shared" si="13"/>
        <v>29.99</v>
      </c>
      <c r="J248" s="4">
        <f t="shared" si="14"/>
        <v>17.989999999999998</v>
      </c>
      <c r="K248" s="9">
        <f t="shared" si="15"/>
        <v>0.5998666222074025</v>
      </c>
      <c r="L248" s="2" t="str">
        <f>IF(VLOOKUP(B248,Orders!$A:$D,4,FALSE())="Vrátená",INDEX({"Nevyhovujúca veľkosť";"Poškodený tovar pri doprave";"Produkt nezodpovedal popisu";"Zákazník zmenil názor";"Neskoré doručenie";"Chybný/vadný kus";"Duplicitná objednávka"},MOD(CODE(LEFT(A248,1))+LEN(A248),7)+1),"")</f>
        <v/>
      </c>
    </row>
    <row r="249" spans="1:12" x14ac:dyDescent="0.3">
      <c r="A249" s="5" t="s">
        <v>595</v>
      </c>
      <c r="B249" s="5" t="s">
        <v>200</v>
      </c>
      <c r="C249" s="5" t="s">
        <v>372</v>
      </c>
      <c r="D249" s="5">
        <v>4</v>
      </c>
      <c r="E249" s="7">
        <f>VLOOKUP(C249,Products!$A:$E,4,FALSE())</f>
        <v>39.99</v>
      </c>
      <c r="F249" s="10">
        <v>0.1</v>
      </c>
      <c r="G249" s="7">
        <f t="shared" si="12"/>
        <v>35.991</v>
      </c>
      <c r="H249" s="7">
        <f>VLOOKUP(C249,Products!$A:$E,5,FALSE())</f>
        <v>17</v>
      </c>
      <c r="I249" s="7">
        <f t="shared" si="13"/>
        <v>143.964</v>
      </c>
      <c r="J249" s="7">
        <f t="shared" si="14"/>
        <v>75.963999999999999</v>
      </c>
      <c r="K249" s="11">
        <f t="shared" si="15"/>
        <v>0.52765969270095303</v>
      </c>
      <c r="L249" s="5" t="str">
        <f>IF(VLOOKUP(B249,Orders!$A:$D,4,FALSE())="Vrátená",INDEX({"Nevyhovujúca veľkosť";"Poškodený tovar pri doprave";"Produkt nezodpovedal popisu";"Zákazník zmenil názor";"Neskoré doručenie";"Chybný/vadný kus";"Duplicitná objednávka"},MOD(CODE(LEFT(A249,1))+LEN(A249),7)+1),"")</f>
        <v/>
      </c>
    </row>
    <row r="250" spans="1:12" x14ac:dyDescent="0.3">
      <c r="A250" s="2" t="s">
        <v>596</v>
      </c>
      <c r="B250" s="2" t="s">
        <v>200</v>
      </c>
      <c r="C250" s="2" t="s">
        <v>422</v>
      </c>
      <c r="D250" s="2">
        <v>1</v>
      </c>
      <c r="E250" s="4">
        <f>VLOOKUP(C250,Products!$A:$E,4,FALSE())</f>
        <v>49.99</v>
      </c>
      <c r="F250" s="8">
        <v>0</v>
      </c>
      <c r="G250" s="4">
        <f t="shared" si="12"/>
        <v>49.99</v>
      </c>
      <c r="H250" s="4">
        <f>VLOOKUP(C250,Products!$A:$E,5,FALSE())</f>
        <v>20</v>
      </c>
      <c r="I250" s="4">
        <f t="shared" si="13"/>
        <v>49.99</v>
      </c>
      <c r="J250" s="4">
        <f t="shared" si="14"/>
        <v>29.990000000000002</v>
      </c>
      <c r="K250" s="9">
        <f t="shared" si="15"/>
        <v>0.59991998399679936</v>
      </c>
      <c r="L250" s="2" t="str">
        <f>IF(VLOOKUP(B250,Orders!$A:$D,4,FALSE())="Vrátená",INDEX({"Nevyhovujúca veľkosť";"Poškodený tovar pri doprave";"Produkt nezodpovedal popisu";"Zákazník zmenil názor";"Neskoré doručenie";"Chybný/vadný kus";"Duplicitná objednávka"},MOD(CODE(LEFT(A250,1))+LEN(A250),7)+1),"")</f>
        <v/>
      </c>
    </row>
    <row r="251" spans="1:12" x14ac:dyDescent="0.3">
      <c r="A251" s="5" t="s">
        <v>597</v>
      </c>
      <c r="B251" s="5" t="s">
        <v>201</v>
      </c>
      <c r="C251" s="5" t="s">
        <v>598</v>
      </c>
      <c r="D251" s="5">
        <v>2</v>
      </c>
      <c r="E251" s="7">
        <f>VLOOKUP(C251,Products!$A:$E,4,FALSE())</f>
        <v>13.99</v>
      </c>
      <c r="F251" s="10">
        <v>0.15</v>
      </c>
      <c r="G251" s="7">
        <f t="shared" si="12"/>
        <v>11.891500000000001</v>
      </c>
      <c r="H251" s="7">
        <f>VLOOKUP(C251,Products!$A:$E,5,FALSE())</f>
        <v>4.5</v>
      </c>
      <c r="I251" s="7">
        <f t="shared" si="13"/>
        <v>23.783000000000001</v>
      </c>
      <c r="J251" s="7">
        <f t="shared" si="14"/>
        <v>14.783000000000001</v>
      </c>
      <c r="K251" s="11">
        <f t="shared" si="15"/>
        <v>0.62157843838035576</v>
      </c>
      <c r="L251" s="5" t="str">
        <f>IF(VLOOKUP(B251,Orders!$A:$D,4,FALSE())="Vrátená",INDEX({"Nevyhovujúca veľkosť";"Poškodený tovar pri doprave";"Produkt nezodpovedal popisu";"Zákazník zmenil názor";"Neskoré doručenie";"Chybný/vadný kus";"Duplicitná objednávka"},MOD(CODE(LEFT(A251,1))+LEN(A251),7)+1),"")</f>
        <v/>
      </c>
    </row>
    <row r="252" spans="1:12" x14ac:dyDescent="0.3">
      <c r="A252" s="2" t="s">
        <v>599</v>
      </c>
      <c r="B252" s="2" t="s">
        <v>201</v>
      </c>
      <c r="C252" s="2" t="s">
        <v>318</v>
      </c>
      <c r="D252" s="2">
        <v>1</v>
      </c>
      <c r="E252" s="4">
        <f>VLOOKUP(C252,Products!$A:$E,4,FALSE())</f>
        <v>29.99</v>
      </c>
      <c r="F252" s="8">
        <v>0</v>
      </c>
      <c r="G252" s="4">
        <f t="shared" si="12"/>
        <v>29.99</v>
      </c>
      <c r="H252" s="4">
        <f>VLOOKUP(C252,Products!$A:$E,5,FALSE())</f>
        <v>13</v>
      </c>
      <c r="I252" s="4">
        <f t="shared" si="13"/>
        <v>29.99</v>
      </c>
      <c r="J252" s="4">
        <f t="shared" si="14"/>
        <v>16.989999999999998</v>
      </c>
      <c r="K252" s="9">
        <f t="shared" si="15"/>
        <v>0.5665221740580193</v>
      </c>
      <c r="L252" s="2" t="str">
        <f>IF(VLOOKUP(B252,Orders!$A:$D,4,FALSE())="Vrátená",INDEX({"Nevyhovujúca veľkosť";"Poškodený tovar pri doprave";"Produkt nezodpovedal popisu";"Zákazník zmenil názor";"Neskoré doručenie";"Chybný/vadný kus";"Duplicitná objednávka"},MOD(CODE(LEFT(A252,1))+LEN(A252),7)+1),"")</f>
        <v/>
      </c>
    </row>
    <row r="253" spans="1:12" x14ac:dyDescent="0.3">
      <c r="A253" s="5" t="s">
        <v>600</v>
      </c>
      <c r="B253" s="5" t="s">
        <v>202</v>
      </c>
      <c r="C253" s="5" t="s">
        <v>357</v>
      </c>
      <c r="D253" s="5">
        <v>1</v>
      </c>
      <c r="E253" s="7">
        <f>VLOOKUP(C253,Products!$A:$E,4,FALSE())</f>
        <v>13.99</v>
      </c>
      <c r="F253" s="10">
        <v>0.1</v>
      </c>
      <c r="G253" s="7">
        <f t="shared" si="12"/>
        <v>12.591000000000001</v>
      </c>
      <c r="H253" s="7">
        <f>VLOOKUP(C253,Products!$A:$E,5,FALSE())</f>
        <v>5.5</v>
      </c>
      <c r="I253" s="7">
        <f t="shared" si="13"/>
        <v>12.591000000000001</v>
      </c>
      <c r="J253" s="7">
        <f t="shared" si="14"/>
        <v>7.0910000000000011</v>
      </c>
      <c r="K253" s="11">
        <f t="shared" si="15"/>
        <v>0.56318004924152176</v>
      </c>
      <c r="L253" s="5" t="str">
        <f>IF(VLOOKUP(B253,Orders!$A:$D,4,FALSE())="Vrátená",INDEX({"Nevyhovujúca veľkosť";"Poškodený tovar pri doprave";"Produkt nezodpovedal popisu";"Zákazník zmenil názor";"Neskoré doručenie";"Chybný/vadný kus";"Duplicitná objednávka"},MOD(CODE(LEFT(A253,1))+LEN(A253),7)+1),"")</f>
        <v/>
      </c>
    </row>
    <row r="254" spans="1:12" x14ac:dyDescent="0.3">
      <c r="A254" s="2" t="s">
        <v>601</v>
      </c>
      <c r="B254" s="2" t="s">
        <v>202</v>
      </c>
      <c r="C254" s="2" t="s">
        <v>442</v>
      </c>
      <c r="D254" s="2">
        <v>5</v>
      </c>
      <c r="E254" s="4">
        <f>VLOOKUP(C254,Products!$A:$E,4,FALSE())</f>
        <v>8.99</v>
      </c>
      <c r="F254" s="8">
        <v>0.15</v>
      </c>
      <c r="G254" s="4">
        <f t="shared" si="12"/>
        <v>7.6414999999999997</v>
      </c>
      <c r="H254" s="4">
        <f>VLOOKUP(C254,Products!$A:$E,5,FALSE())</f>
        <v>3</v>
      </c>
      <c r="I254" s="4">
        <f t="shared" si="13"/>
        <v>38.207499999999996</v>
      </c>
      <c r="J254" s="4">
        <f t="shared" si="14"/>
        <v>23.207499999999996</v>
      </c>
      <c r="K254" s="9">
        <f t="shared" si="15"/>
        <v>0.60740692272459595</v>
      </c>
      <c r="L254" s="2" t="str">
        <f>IF(VLOOKUP(B254,Orders!$A:$D,4,FALSE())="Vrátená",INDEX({"Nevyhovujúca veľkosť";"Poškodený tovar pri doprave";"Produkt nezodpovedal popisu";"Zákazník zmenil názor";"Neskoré doručenie";"Chybný/vadný kus";"Duplicitná objednávka"},MOD(CODE(LEFT(A254,1))+LEN(A254),7)+1),"")</f>
        <v/>
      </c>
    </row>
    <row r="255" spans="1:12" x14ac:dyDescent="0.3">
      <c r="A255" s="5" t="s">
        <v>602</v>
      </c>
      <c r="B255" s="5" t="s">
        <v>203</v>
      </c>
      <c r="C255" s="5" t="s">
        <v>355</v>
      </c>
      <c r="D255" s="5">
        <v>1</v>
      </c>
      <c r="E255" s="7">
        <f>VLOOKUP(C255,Products!$A:$E,4,FALSE())</f>
        <v>27.99</v>
      </c>
      <c r="F255" s="10">
        <v>0</v>
      </c>
      <c r="G255" s="7">
        <f t="shared" si="12"/>
        <v>27.99</v>
      </c>
      <c r="H255" s="7">
        <f>VLOOKUP(C255,Products!$A:$E,5,FALSE())</f>
        <v>12</v>
      </c>
      <c r="I255" s="7">
        <f t="shared" si="13"/>
        <v>27.99</v>
      </c>
      <c r="J255" s="7">
        <f t="shared" si="14"/>
        <v>15.989999999999998</v>
      </c>
      <c r="K255" s="11">
        <f t="shared" si="15"/>
        <v>0.5712754555198285</v>
      </c>
      <c r="L255" s="5" t="str">
        <f>IF(VLOOKUP(B255,Orders!$A:$D,4,FALSE())="Vrátená",INDEX({"Nevyhovujúca veľkosť";"Poškodený tovar pri doprave";"Produkt nezodpovedal popisu";"Zákazník zmenil názor";"Neskoré doručenie";"Chybný/vadný kus";"Duplicitná objednávka"},MOD(CODE(LEFT(A255,1))+LEN(A255),7)+1),"")</f>
        <v/>
      </c>
    </row>
    <row r="256" spans="1:12" x14ac:dyDescent="0.3">
      <c r="A256" s="2" t="s">
        <v>603</v>
      </c>
      <c r="B256" s="2" t="s">
        <v>203</v>
      </c>
      <c r="C256" s="2" t="s">
        <v>328</v>
      </c>
      <c r="D256" s="2">
        <v>1</v>
      </c>
      <c r="E256" s="4">
        <f>VLOOKUP(C256,Products!$A:$E,4,FALSE())</f>
        <v>7.49</v>
      </c>
      <c r="F256" s="8">
        <v>0.1</v>
      </c>
      <c r="G256" s="4">
        <f t="shared" si="12"/>
        <v>6.7410000000000005</v>
      </c>
      <c r="H256" s="4">
        <f>VLOOKUP(C256,Products!$A:$E,5,FALSE())</f>
        <v>2</v>
      </c>
      <c r="I256" s="4">
        <f t="shared" si="13"/>
        <v>6.7410000000000005</v>
      </c>
      <c r="J256" s="4">
        <f t="shared" si="14"/>
        <v>4.7410000000000005</v>
      </c>
      <c r="K256" s="9">
        <f t="shared" si="15"/>
        <v>0.70330811452306785</v>
      </c>
      <c r="L256" s="2" t="str">
        <f>IF(VLOOKUP(B256,Orders!$A:$D,4,FALSE())="Vrátená",INDEX({"Nevyhovujúca veľkosť";"Poškodený tovar pri doprave";"Produkt nezodpovedal popisu";"Zákazník zmenil názor";"Neskoré doručenie";"Chybný/vadný kus";"Duplicitná objednávka"},MOD(CODE(LEFT(A256,1))+LEN(A256),7)+1),"")</f>
        <v/>
      </c>
    </row>
    <row r="257" spans="1:12" x14ac:dyDescent="0.3">
      <c r="A257" s="5" t="s">
        <v>604</v>
      </c>
      <c r="B257" s="5" t="s">
        <v>203</v>
      </c>
      <c r="C257" s="5" t="s">
        <v>426</v>
      </c>
      <c r="D257" s="5">
        <v>1</v>
      </c>
      <c r="E257" s="7">
        <f>VLOOKUP(C257,Products!$A:$E,4,FALSE())</f>
        <v>6.99</v>
      </c>
      <c r="F257" s="10">
        <v>0.1</v>
      </c>
      <c r="G257" s="7">
        <f t="shared" si="12"/>
        <v>6.2910000000000004</v>
      </c>
      <c r="H257" s="7">
        <f>VLOOKUP(C257,Products!$A:$E,5,FALSE())</f>
        <v>2</v>
      </c>
      <c r="I257" s="7">
        <f t="shared" si="13"/>
        <v>6.2910000000000004</v>
      </c>
      <c r="J257" s="7">
        <f t="shared" si="14"/>
        <v>4.2910000000000004</v>
      </c>
      <c r="K257" s="11">
        <f t="shared" si="15"/>
        <v>0.68208551899539027</v>
      </c>
      <c r="L257" s="5" t="str">
        <f>IF(VLOOKUP(B257,Orders!$A:$D,4,FALSE())="Vrátená",INDEX({"Nevyhovujúca veľkosť";"Poškodený tovar pri doprave";"Produkt nezodpovedal popisu";"Zákazník zmenil názor";"Neskoré doručenie";"Chybný/vadný kus";"Duplicitná objednávka"},MOD(CODE(LEFT(A257,1))+LEN(A257),7)+1),"")</f>
        <v/>
      </c>
    </row>
    <row r="258" spans="1:12" x14ac:dyDescent="0.3">
      <c r="A258" s="2" t="s">
        <v>605</v>
      </c>
      <c r="B258" s="2" t="s">
        <v>204</v>
      </c>
      <c r="C258" s="2" t="s">
        <v>302</v>
      </c>
      <c r="D258" s="2">
        <v>1</v>
      </c>
      <c r="E258" s="4">
        <f>VLOOKUP(C258,Products!$A:$E,4,FALSE())</f>
        <v>54.99</v>
      </c>
      <c r="F258" s="8">
        <v>0</v>
      </c>
      <c r="G258" s="4">
        <f t="shared" ref="G258:G321" si="16">E258*(1-F258)</f>
        <v>54.99</v>
      </c>
      <c r="H258" s="4">
        <f>VLOOKUP(C258,Products!$A:$E,5,FALSE())</f>
        <v>22</v>
      </c>
      <c r="I258" s="4">
        <f t="shared" ref="I258:I321" si="17">D258*G258</f>
        <v>54.99</v>
      </c>
      <c r="J258" s="4">
        <f t="shared" ref="J258:J321" si="18">I258-(D258*H258)</f>
        <v>32.99</v>
      </c>
      <c r="K258" s="9">
        <f t="shared" ref="K258:K321" si="19">IFERROR(J258/I258,0)</f>
        <v>0.59992725950172765</v>
      </c>
      <c r="L258" s="2" t="str">
        <f>IF(VLOOKUP(B258,Orders!$A:$D,4,FALSE())="Vrátená",INDEX({"Nevyhovujúca veľkosť";"Poškodený tovar pri doprave";"Produkt nezodpovedal popisu";"Zákazník zmenil názor";"Neskoré doručenie";"Chybný/vadný kus";"Duplicitná objednávka"},MOD(CODE(LEFT(A258,1))+LEN(A258),7)+1),"")</f>
        <v/>
      </c>
    </row>
    <row r="259" spans="1:12" x14ac:dyDescent="0.3">
      <c r="A259" s="5" t="s">
        <v>606</v>
      </c>
      <c r="B259" s="5" t="s">
        <v>206</v>
      </c>
      <c r="C259" s="5" t="s">
        <v>334</v>
      </c>
      <c r="D259" s="5">
        <v>1</v>
      </c>
      <c r="E259" s="7">
        <f>VLOOKUP(C259,Products!$A:$E,4,FALSE())</f>
        <v>21.49</v>
      </c>
      <c r="F259" s="10">
        <v>0</v>
      </c>
      <c r="G259" s="7">
        <f t="shared" si="16"/>
        <v>21.49</v>
      </c>
      <c r="H259" s="7">
        <f>VLOOKUP(C259,Products!$A:$E,5,FALSE())</f>
        <v>8</v>
      </c>
      <c r="I259" s="7">
        <f t="shared" si="17"/>
        <v>21.49</v>
      </c>
      <c r="J259" s="7">
        <f t="shared" si="18"/>
        <v>13.489999999999998</v>
      </c>
      <c r="K259" s="11">
        <f t="shared" si="19"/>
        <v>0.62773382968822711</v>
      </c>
      <c r="L259" s="5" t="str">
        <f>IF(VLOOKUP(B259,Orders!$A:$D,4,FALSE())="Vrátená",INDEX({"Nevyhovujúca veľkosť";"Poškodený tovar pri doprave";"Produkt nezodpovedal popisu";"Zákazník zmenil názor";"Neskoré doručenie";"Chybný/vadný kus";"Duplicitná objednávka"},MOD(CODE(LEFT(A259,1))+LEN(A259),7)+1),"")</f>
        <v/>
      </c>
    </row>
    <row r="260" spans="1:12" x14ac:dyDescent="0.3">
      <c r="A260" s="2" t="s">
        <v>607</v>
      </c>
      <c r="B260" s="2" t="s">
        <v>206</v>
      </c>
      <c r="C260" s="2" t="s">
        <v>345</v>
      </c>
      <c r="D260" s="2">
        <v>1</v>
      </c>
      <c r="E260" s="4">
        <f>VLOOKUP(C260,Products!$A:$E,4,FALSE())</f>
        <v>13.49</v>
      </c>
      <c r="F260" s="8">
        <v>0.1</v>
      </c>
      <c r="G260" s="4">
        <f t="shared" si="16"/>
        <v>12.141</v>
      </c>
      <c r="H260" s="4">
        <f>VLOOKUP(C260,Products!$A:$E,5,FALSE())</f>
        <v>4.5</v>
      </c>
      <c r="I260" s="4">
        <f t="shared" si="17"/>
        <v>12.141</v>
      </c>
      <c r="J260" s="4">
        <f t="shared" si="18"/>
        <v>7.641</v>
      </c>
      <c r="K260" s="9">
        <f t="shared" si="19"/>
        <v>0.62935507783543365</v>
      </c>
      <c r="L260" s="2" t="str">
        <f>IF(VLOOKUP(B260,Orders!$A:$D,4,FALSE())="Vrátená",INDEX({"Nevyhovujúca veľkosť";"Poškodený tovar pri doprave";"Produkt nezodpovedal popisu";"Zákazník zmenil názor";"Neskoré doručenie";"Chybný/vadný kus";"Duplicitná objednávka"},MOD(CODE(LEFT(A260,1))+LEN(A260),7)+1),"")</f>
        <v/>
      </c>
    </row>
    <row r="261" spans="1:12" x14ac:dyDescent="0.3">
      <c r="A261" s="5" t="s">
        <v>608</v>
      </c>
      <c r="B261" s="5" t="s">
        <v>206</v>
      </c>
      <c r="C261" s="5" t="s">
        <v>328</v>
      </c>
      <c r="D261" s="5">
        <v>1</v>
      </c>
      <c r="E261" s="7">
        <f>VLOOKUP(C261,Products!$A:$E,4,FALSE())</f>
        <v>7.49</v>
      </c>
      <c r="F261" s="10">
        <v>0.3</v>
      </c>
      <c r="G261" s="7">
        <f t="shared" si="16"/>
        <v>5.2429999999999994</v>
      </c>
      <c r="H261" s="7">
        <f>VLOOKUP(C261,Products!$A:$E,5,FALSE())</f>
        <v>2</v>
      </c>
      <c r="I261" s="7">
        <f t="shared" si="17"/>
        <v>5.2429999999999994</v>
      </c>
      <c r="J261" s="7">
        <f t="shared" si="18"/>
        <v>3.2429999999999994</v>
      </c>
      <c r="K261" s="11">
        <f t="shared" si="19"/>
        <v>0.61853900438680143</v>
      </c>
      <c r="L261" s="5" t="str">
        <f>IF(VLOOKUP(B261,Orders!$A:$D,4,FALSE())="Vrátená",INDEX({"Nevyhovujúca veľkosť";"Poškodený tovar pri doprave";"Produkt nezodpovedal popisu";"Zákazník zmenil názor";"Neskoré doručenie";"Chybný/vadný kus";"Duplicitná objednávka"},MOD(CODE(LEFT(A261,1))+LEN(A261),7)+1),"")</f>
        <v/>
      </c>
    </row>
    <row r="262" spans="1:12" x14ac:dyDescent="0.3">
      <c r="A262" s="2" t="s">
        <v>609</v>
      </c>
      <c r="B262" s="2" t="s">
        <v>206</v>
      </c>
      <c r="C262" s="2" t="s">
        <v>492</v>
      </c>
      <c r="D262" s="2">
        <v>1</v>
      </c>
      <c r="E262" s="4">
        <f>VLOOKUP(C262,Products!$A:$E,4,FALSE())</f>
        <v>11.99</v>
      </c>
      <c r="F262" s="8">
        <v>0.3</v>
      </c>
      <c r="G262" s="4">
        <f t="shared" si="16"/>
        <v>8.3929999999999989</v>
      </c>
      <c r="H262" s="4">
        <f>VLOOKUP(C262,Products!$A:$E,5,FALSE())</f>
        <v>4</v>
      </c>
      <c r="I262" s="4">
        <f t="shared" si="17"/>
        <v>8.3929999999999989</v>
      </c>
      <c r="J262" s="4">
        <f t="shared" si="18"/>
        <v>4.3929999999999989</v>
      </c>
      <c r="K262" s="9">
        <f t="shared" si="19"/>
        <v>0.52341236744906461</v>
      </c>
      <c r="L262" s="2" t="str">
        <f>IF(VLOOKUP(B262,Orders!$A:$D,4,FALSE())="Vrátená",INDEX({"Nevyhovujúca veľkosť";"Poškodený tovar pri doprave";"Produkt nezodpovedal popisu";"Zákazník zmenil názor";"Neskoré doručenie";"Chybný/vadný kus";"Duplicitná objednávka"},MOD(CODE(LEFT(A262,1))+LEN(A262),7)+1),"")</f>
        <v/>
      </c>
    </row>
    <row r="263" spans="1:12" x14ac:dyDescent="0.3">
      <c r="A263" s="5" t="s">
        <v>610</v>
      </c>
      <c r="B263" s="5" t="s">
        <v>207</v>
      </c>
      <c r="C263" s="5" t="s">
        <v>361</v>
      </c>
      <c r="D263" s="5">
        <v>1</v>
      </c>
      <c r="E263" s="7">
        <f>VLOOKUP(C263,Products!$A:$E,4,FALSE())</f>
        <v>27.49</v>
      </c>
      <c r="F263" s="10">
        <v>0</v>
      </c>
      <c r="G263" s="7">
        <f t="shared" si="16"/>
        <v>27.49</v>
      </c>
      <c r="H263" s="7">
        <f>VLOOKUP(C263,Products!$A:$E,5,FALSE())</f>
        <v>11</v>
      </c>
      <c r="I263" s="7">
        <f t="shared" si="17"/>
        <v>27.49</v>
      </c>
      <c r="J263" s="7">
        <f t="shared" si="18"/>
        <v>16.489999999999998</v>
      </c>
      <c r="K263" s="11">
        <f t="shared" si="19"/>
        <v>0.59985449254274281</v>
      </c>
      <c r="L263" s="5" t="str">
        <f>IF(VLOOKUP(B263,Orders!$A:$D,4,FALSE())="Vrátená",INDEX({"Nevyhovujúca veľkosť";"Poškodený tovar pri doprave";"Produkt nezodpovedal popisu";"Zákazník zmenil názor";"Neskoré doručenie";"Chybný/vadný kus";"Duplicitná objednávka"},MOD(CODE(LEFT(A263,1))+LEN(A263),7)+1),"")</f>
        <v/>
      </c>
    </row>
    <row r="264" spans="1:12" x14ac:dyDescent="0.3">
      <c r="A264" s="2" t="s">
        <v>611</v>
      </c>
      <c r="B264" s="2" t="s">
        <v>208</v>
      </c>
      <c r="C264" s="2" t="s">
        <v>442</v>
      </c>
      <c r="D264" s="2">
        <v>2</v>
      </c>
      <c r="E264" s="4">
        <f>VLOOKUP(C264,Products!$A:$E,4,FALSE())</f>
        <v>8.99</v>
      </c>
      <c r="F264" s="8">
        <v>0.1</v>
      </c>
      <c r="G264" s="4">
        <f t="shared" si="16"/>
        <v>8.0910000000000011</v>
      </c>
      <c r="H264" s="4">
        <f>VLOOKUP(C264,Products!$A:$E,5,FALSE())</f>
        <v>3</v>
      </c>
      <c r="I264" s="4">
        <f t="shared" si="17"/>
        <v>16.182000000000002</v>
      </c>
      <c r="J264" s="4">
        <f t="shared" si="18"/>
        <v>10.182000000000002</v>
      </c>
      <c r="K264" s="9">
        <f t="shared" si="19"/>
        <v>0.6292176492398962</v>
      </c>
      <c r="L264" s="2" t="str">
        <f>IF(VLOOKUP(B264,Orders!$A:$D,4,FALSE())="Vrátená",INDEX({"Nevyhovujúca veľkosť";"Poškodený tovar pri doprave";"Produkt nezodpovedal popisu";"Zákazník zmenil názor";"Neskoré doručenie";"Chybný/vadný kus";"Duplicitná objednávka"},MOD(CODE(LEFT(A264,1))+LEN(A264),7)+1),"")</f>
        <v/>
      </c>
    </row>
    <row r="265" spans="1:12" x14ac:dyDescent="0.3">
      <c r="A265" s="5" t="s">
        <v>612</v>
      </c>
      <c r="B265" s="5" t="s">
        <v>208</v>
      </c>
      <c r="C265" s="5" t="s">
        <v>352</v>
      </c>
      <c r="D265" s="5">
        <v>2</v>
      </c>
      <c r="E265" s="7">
        <f>VLOOKUP(C265,Products!$A:$E,4,FALSE())</f>
        <v>189.99</v>
      </c>
      <c r="F265" s="10">
        <v>0.1</v>
      </c>
      <c r="G265" s="7">
        <f t="shared" si="16"/>
        <v>170.99100000000001</v>
      </c>
      <c r="H265" s="7">
        <f>VLOOKUP(C265,Products!$A:$E,5,FALSE())</f>
        <v>110</v>
      </c>
      <c r="I265" s="7">
        <f t="shared" si="17"/>
        <v>341.98200000000003</v>
      </c>
      <c r="J265" s="7">
        <f t="shared" si="18"/>
        <v>121.98200000000003</v>
      </c>
      <c r="K265" s="11">
        <f t="shared" si="19"/>
        <v>0.3566912878455592</v>
      </c>
      <c r="L265" s="5" t="str">
        <f>IF(VLOOKUP(B265,Orders!$A:$D,4,FALSE())="Vrátená",INDEX({"Nevyhovujúca veľkosť";"Poškodený tovar pri doprave";"Produkt nezodpovedal popisu";"Zákazník zmenil názor";"Neskoré doručenie";"Chybný/vadný kus";"Duplicitná objednávka"},MOD(CODE(LEFT(A265,1))+LEN(A265),7)+1),"")</f>
        <v/>
      </c>
    </row>
    <row r="266" spans="1:12" x14ac:dyDescent="0.3">
      <c r="A266" s="2" t="s">
        <v>613</v>
      </c>
      <c r="B266" s="2" t="s">
        <v>209</v>
      </c>
      <c r="C266" s="2" t="s">
        <v>361</v>
      </c>
      <c r="D266" s="2">
        <v>3</v>
      </c>
      <c r="E266" s="4">
        <f>VLOOKUP(C266,Products!$A:$E,4,FALSE())</f>
        <v>27.49</v>
      </c>
      <c r="F266" s="8">
        <v>0</v>
      </c>
      <c r="G266" s="4">
        <f t="shared" si="16"/>
        <v>27.49</v>
      </c>
      <c r="H266" s="4">
        <f>VLOOKUP(C266,Products!$A:$E,5,FALSE())</f>
        <v>11</v>
      </c>
      <c r="I266" s="4">
        <f t="shared" si="17"/>
        <v>82.47</v>
      </c>
      <c r="J266" s="4">
        <f t="shared" si="18"/>
        <v>49.47</v>
      </c>
      <c r="K266" s="9">
        <f t="shared" si="19"/>
        <v>0.59985449254274281</v>
      </c>
      <c r="L266" s="2" t="str">
        <f>IF(VLOOKUP(B266,Orders!$A:$D,4,FALSE())="Vrátená",INDEX({"Nevyhovujúca veľkosť";"Poškodený tovar pri doprave";"Produkt nezodpovedal popisu";"Zákazník zmenil názor";"Neskoré doručenie";"Chybný/vadný kus";"Duplicitná objednávka"},MOD(CODE(LEFT(A266,1))+LEN(A266),7)+1),"")</f>
        <v/>
      </c>
    </row>
    <row r="267" spans="1:12" x14ac:dyDescent="0.3">
      <c r="A267" s="5" t="s">
        <v>614</v>
      </c>
      <c r="B267" s="5" t="s">
        <v>209</v>
      </c>
      <c r="C267" s="5" t="s">
        <v>470</v>
      </c>
      <c r="D267" s="5">
        <v>1</v>
      </c>
      <c r="E267" s="7">
        <f>VLOOKUP(C267,Products!$A:$E,4,FALSE())</f>
        <v>44.99</v>
      </c>
      <c r="F267" s="10">
        <v>0.2</v>
      </c>
      <c r="G267" s="7">
        <f t="shared" si="16"/>
        <v>35.992000000000004</v>
      </c>
      <c r="H267" s="7">
        <f>VLOOKUP(C267,Products!$A:$E,5,FALSE())</f>
        <v>18</v>
      </c>
      <c r="I267" s="7">
        <f t="shared" si="17"/>
        <v>35.992000000000004</v>
      </c>
      <c r="J267" s="7">
        <f t="shared" si="18"/>
        <v>17.992000000000004</v>
      </c>
      <c r="K267" s="11">
        <f t="shared" si="19"/>
        <v>0.49988886419204276</v>
      </c>
      <c r="L267" s="5" t="str">
        <f>IF(VLOOKUP(B267,Orders!$A:$D,4,FALSE())="Vrátená",INDEX({"Nevyhovujúca veľkosť";"Poškodený tovar pri doprave";"Produkt nezodpovedal popisu";"Zákazník zmenil názor";"Neskoré doručenie";"Chybný/vadný kus";"Duplicitná objednávka"},MOD(CODE(LEFT(A267,1))+LEN(A267),7)+1),"")</f>
        <v/>
      </c>
    </row>
    <row r="268" spans="1:12" x14ac:dyDescent="0.3">
      <c r="A268" s="2" t="s">
        <v>615</v>
      </c>
      <c r="B268" s="2" t="s">
        <v>209</v>
      </c>
      <c r="C268" s="2" t="s">
        <v>347</v>
      </c>
      <c r="D268" s="2">
        <v>1</v>
      </c>
      <c r="E268" s="4">
        <f>VLOOKUP(C268,Products!$A:$E,4,FALSE())</f>
        <v>18.989999999999998</v>
      </c>
      <c r="F268" s="8">
        <v>0.15</v>
      </c>
      <c r="G268" s="4">
        <f t="shared" si="16"/>
        <v>16.141499999999997</v>
      </c>
      <c r="H268" s="4">
        <f>VLOOKUP(C268,Products!$A:$E,5,FALSE())</f>
        <v>7.5</v>
      </c>
      <c r="I268" s="4">
        <f t="shared" si="17"/>
        <v>16.141499999999997</v>
      </c>
      <c r="J268" s="4">
        <f t="shared" si="18"/>
        <v>8.6414999999999971</v>
      </c>
      <c r="K268" s="9">
        <f t="shared" si="19"/>
        <v>0.53535916736362787</v>
      </c>
      <c r="L268" s="2" t="str">
        <f>IF(VLOOKUP(B268,Orders!$A:$D,4,FALSE())="Vrátená",INDEX({"Nevyhovujúca veľkosť";"Poškodený tovar pri doprave";"Produkt nezodpovedal popisu";"Zákazník zmenil názor";"Neskoré doručenie";"Chybný/vadný kus";"Duplicitná objednávka"},MOD(CODE(LEFT(A268,1))+LEN(A268),7)+1),"")</f>
        <v/>
      </c>
    </row>
    <row r="269" spans="1:12" x14ac:dyDescent="0.3">
      <c r="A269" s="5" t="s">
        <v>616</v>
      </c>
      <c r="B269" s="5" t="s">
        <v>211</v>
      </c>
      <c r="C269" s="5" t="s">
        <v>347</v>
      </c>
      <c r="D269" s="5">
        <v>1</v>
      </c>
      <c r="E269" s="7">
        <f>VLOOKUP(C269,Products!$A:$E,4,FALSE())</f>
        <v>18.989999999999998</v>
      </c>
      <c r="F269" s="10">
        <v>0</v>
      </c>
      <c r="G269" s="7">
        <f t="shared" si="16"/>
        <v>18.989999999999998</v>
      </c>
      <c r="H269" s="7">
        <f>VLOOKUP(C269,Products!$A:$E,5,FALSE())</f>
        <v>7.5</v>
      </c>
      <c r="I269" s="7">
        <f t="shared" si="17"/>
        <v>18.989999999999998</v>
      </c>
      <c r="J269" s="7">
        <f t="shared" si="18"/>
        <v>11.489999999999998</v>
      </c>
      <c r="K269" s="11">
        <f t="shared" si="19"/>
        <v>0.60505529225908372</v>
      </c>
      <c r="L269" s="5" t="str">
        <f>IF(VLOOKUP(B269,Orders!$A:$D,4,FALSE())="Vrátená",INDEX({"Nevyhovujúca veľkosť";"Poškodený tovar pri doprave";"Produkt nezodpovedal popisu";"Zákazník zmenil názor";"Neskoré doručenie";"Chybný/vadný kus";"Duplicitná objednávka"},MOD(CODE(LEFT(A269,1))+LEN(A269),7)+1),"")</f>
        <v/>
      </c>
    </row>
    <row r="270" spans="1:12" x14ac:dyDescent="0.3">
      <c r="A270" s="2" t="s">
        <v>617</v>
      </c>
      <c r="B270" s="2" t="s">
        <v>211</v>
      </c>
      <c r="C270" s="2" t="s">
        <v>398</v>
      </c>
      <c r="D270" s="2">
        <v>2</v>
      </c>
      <c r="E270" s="4">
        <f>VLOOKUP(C270,Products!$A:$E,4,FALSE())</f>
        <v>22.49</v>
      </c>
      <c r="F270" s="8">
        <v>0.2</v>
      </c>
      <c r="G270" s="4">
        <f t="shared" si="16"/>
        <v>17.992000000000001</v>
      </c>
      <c r="H270" s="4">
        <f>VLOOKUP(C270,Products!$A:$E,5,FALSE())</f>
        <v>8.5</v>
      </c>
      <c r="I270" s="4">
        <f t="shared" si="17"/>
        <v>35.984000000000002</v>
      </c>
      <c r="J270" s="4">
        <f t="shared" si="18"/>
        <v>18.984000000000002</v>
      </c>
      <c r="K270" s="9">
        <f t="shared" si="19"/>
        <v>0.52756780791462876</v>
      </c>
      <c r="L270" s="2" t="str">
        <f>IF(VLOOKUP(B270,Orders!$A:$D,4,FALSE())="Vrátená",INDEX({"Nevyhovujúca veľkosť";"Poškodený tovar pri doprave";"Produkt nezodpovedal popisu";"Zákazník zmenil názor";"Neskoré doručenie";"Chybný/vadný kus";"Duplicitná objednávka"},MOD(CODE(LEFT(A270,1))+LEN(A270),7)+1),"")</f>
        <v/>
      </c>
    </row>
    <row r="271" spans="1:12" x14ac:dyDescent="0.3">
      <c r="A271" s="5" t="s">
        <v>618</v>
      </c>
      <c r="B271" s="5" t="s">
        <v>211</v>
      </c>
      <c r="C271" s="5" t="s">
        <v>355</v>
      </c>
      <c r="D271" s="5">
        <v>1</v>
      </c>
      <c r="E271" s="7">
        <f>VLOOKUP(C271,Products!$A:$E,4,FALSE())</f>
        <v>27.99</v>
      </c>
      <c r="F271" s="10">
        <v>0.05</v>
      </c>
      <c r="G271" s="7">
        <f t="shared" si="16"/>
        <v>26.590499999999999</v>
      </c>
      <c r="H271" s="7">
        <f>VLOOKUP(C271,Products!$A:$E,5,FALSE())</f>
        <v>12</v>
      </c>
      <c r="I271" s="7">
        <f t="shared" si="17"/>
        <v>26.590499999999999</v>
      </c>
      <c r="J271" s="7">
        <f t="shared" si="18"/>
        <v>14.590499999999999</v>
      </c>
      <c r="K271" s="11">
        <f t="shared" si="19"/>
        <v>0.54871100581034582</v>
      </c>
      <c r="L271" s="5" t="str">
        <f>IF(VLOOKUP(B271,Orders!$A:$D,4,FALSE())="Vrátená",INDEX({"Nevyhovujúca veľkosť";"Poškodený tovar pri doprave";"Produkt nezodpovedal popisu";"Zákazník zmenil názor";"Neskoré doručenie";"Chybný/vadný kus";"Duplicitná objednávka"},MOD(CODE(LEFT(A271,1))+LEN(A271),7)+1),"")</f>
        <v/>
      </c>
    </row>
    <row r="272" spans="1:12" x14ac:dyDescent="0.3">
      <c r="A272" s="2" t="s">
        <v>619</v>
      </c>
      <c r="B272" s="2" t="s">
        <v>212</v>
      </c>
      <c r="C272" s="2" t="s">
        <v>464</v>
      </c>
      <c r="D272" s="2">
        <v>2</v>
      </c>
      <c r="E272" s="4">
        <f>VLOOKUP(C272,Products!$A:$E,4,FALSE())</f>
        <v>14.99</v>
      </c>
      <c r="F272" s="8">
        <v>0.05</v>
      </c>
      <c r="G272" s="4">
        <f t="shared" si="16"/>
        <v>14.240499999999999</v>
      </c>
      <c r="H272" s="4">
        <f>VLOOKUP(C272,Products!$A:$E,5,FALSE())</f>
        <v>5.5</v>
      </c>
      <c r="I272" s="4">
        <f t="shared" si="17"/>
        <v>28.480999999999998</v>
      </c>
      <c r="J272" s="4">
        <f t="shared" si="18"/>
        <v>17.480999999999998</v>
      </c>
      <c r="K272" s="9">
        <f t="shared" si="19"/>
        <v>0.6137776061233805</v>
      </c>
      <c r="L272" s="2" t="str">
        <f>IF(VLOOKUP(B272,Orders!$A:$D,4,FALSE())="Vrátená",INDEX({"Nevyhovujúca veľkosť";"Poškodený tovar pri doprave";"Produkt nezodpovedal popisu";"Zákazník zmenil názor";"Neskoré doručenie";"Chybný/vadný kus";"Duplicitná objednávka"},MOD(CODE(LEFT(A272,1))+LEN(A272),7)+1),"")</f>
        <v/>
      </c>
    </row>
    <row r="273" spans="1:12" x14ac:dyDescent="0.3">
      <c r="A273" s="5" t="s">
        <v>620</v>
      </c>
      <c r="B273" s="5" t="s">
        <v>212</v>
      </c>
      <c r="C273" s="5" t="s">
        <v>304</v>
      </c>
      <c r="D273" s="5">
        <v>5</v>
      </c>
      <c r="E273" s="7">
        <f>VLOOKUP(C273,Products!$A:$E,4,FALSE())</f>
        <v>42.99</v>
      </c>
      <c r="F273" s="10">
        <v>0.1</v>
      </c>
      <c r="G273" s="7">
        <f t="shared" si="16"/>
        <v>38.691000000000003</v>
      </c>
      <c r="H273" s="7">
        <f>VLOOKUP(C273,Products!$A:$E,5,FALSE())</f>
        <v>19.5</v>
      </c>
      <c r="I273" s="7">
        <f t="shared" si="17"/>
        <v>193.45500000000001</v>
      </c>
      <c r="J273" s="7">
        <f t="shared" si="18"/>
        <v>95.955000000000013</v>
      </c>
      <c r="K273" s="11">
        <f t="shared" si="19"/>
        <v>0.49600682329223855</v>
      </c>
      <c r="L273" s="5" t="str">
        <f>IF(VLOOKUP(B273,Orders!$A:$D,4,FALSE())="Vrátená",INDEX({"Nevyhovujúca veľkosť";"Poškodený tovar pri doprave";"Produkt nezodpovedal popisu";"Zákazník zmenil názor";"Neskoré doručenie";"Chybný/vadný kus";"Duplicitná objednávka"},MOD(CODE(LEFT(A273,1))+LEN(A273),7)+1),"")</f>
        <v/>
      </c>
    </row>
    <row r="274" spans="1:12" x14ac:dyDescent="0.3">
      <c r="A274" s="2" t="s">
        <v>621</v>
      </c>
      <c r="B274" s="2" t="s">
        <v>212</v>
      </c>
      <c r="C274" s="2" t="s">
        <v>461</v>
      </c>
      <c r="D274" s="2">
        <v>1</v>
      </c>
      <c r="E274" s="4">
        <f>VLOOKUP(C274,Products!$A:$E,4,FALSE())</f>
        <v>64.989999999999995</v>
      </c>
      <c r="F274" s="8">
        <v>0.1</v>
      </c>
      <c r="G274" s="4">
        <f t="shared" si="16"/>
        <v>58.491</v>
      </c>
      <c r="H274" s="4">
        <f>VLOOKUP(C274,Products!$A:$E,5,FALSE())</f>
        <v>32</v>
      </c>
      <c r="I274" s="4">
        <f t="shared" si="17"/>
        <v>58.491</v>
      </c>
      <c r="J274" s="4">
        <f t="shared" si="18"/>
        <v>26.491</v>
      </c>
      <c r="K274" s="9">
        <f t="shared" si="19"/>
        <v>0.45290728488143472</v>
      </c>
      <c r="L274" s="2" t="str">
        <f>IF(VLOOKUP(B274,Orders!$A:$D,4,FALSE())="Vrátená",INDEX({"Nevyhovujúca veľkosť";"Poškodený tovar pri doprave";"Produkt nezodpovedal popisu";"Zákazník zmenil názor";"Neskoré doručenie";"Chybný/vadný kus";"Duplicitná objednávka"},MOD(CODE(LEFT(A274,1))+LEN(A274),7)+1),"")</f>
        <v/>
      </c>
    </row>
    <row r="275" spans="1:12" x14ac:dyDescent="0.3">
      <c r="A275" s="5" t="s">
        <v>622</v>
      </c>
      <c r="B275" s="5" t="s">
        <v>214</v>
      </c>
      <c r="C275" s="5" t="s">
        <v>352</v>
      </c>
      <c r="D275" s="5">
        <v>2</v>
      </c>
      <c r="E275" s="7">
        <f>VLOOKUP(C275,Products!$A:$E,4,FALSE())</f>
        <v>189.99</v>
      </c>
      <c r="F275" s="10">
        <v>0</v>
      </c>
      <c r="G275" s="7">
        <f t="shared" si="16"/>
        <v>189.99</v>
      </c>
      <c r="H275" s="7">
        <f>VLOOKUP(C275,Products!$A:$E,5,FALSE())</f>
        <v>110</v>
      </c>
      <c r="I275" s="7">
        <f t="shared" si="17"/>
        <v>379.98</v>
      </c>
      <c r="J275" s="7">
        <f t="shared" si="18"/>
        <v>159.98000000000002</v>
      </c>
      <c r="K275" s="11">
        <f t="shared" si="19"/>
        <v>0.42102215906100326</v>
      </c>
      <c r="L275" s="5" t="str">
        <f>IF(VLOOKUP(B275,Orders!$A:$D,4,FALSE())="Vrátená",INDEX({"Nevyhovujúca veľkosť";"Poškodený tovar pri doprave";"Produkt nezodpovedal popisu";"Zákazník zmenil názor";"Neskoré doručenie";"Chybný/vadný kus";"Duplicitná objednávka"},MOD(CODE(LEFT(A275,1))+LEN(A275),7)+1),"")</f>
        <v/>
      </c>
    </row>
    <row r="276" spans="1:12" x14ac:dyDescent="0.3">
      <c r="A276" s="2" t="s">
        <v>623</v>
      </c>
      <c r="B276" s="2" t="s">
        <v>215</v>
      </c>
      <c r="C276" s="2" t="s">
        <v>372</v>
      </c>
      <c r="D276" s="2">
        <v>1</v>
      </c>
      <c r="E276" s="4">
        <f>VLOOKUP(C276,Products!$A:$E,4,FALSE())</f>
        <v>39.99</v>
      </c>
      <c r="F276" s="8">
        <v>0.1</v>
      </c>
      <c r="G276" s="4">
        <f t="shared" si="16"/>
        <v>35.991</v>
      </c>
      <c r="H276" s="4">
        <f>VLOOKUP(C276,Products!$A:$E,5,FALSE())</f>
        <v>17</v>
      </c>
      <c r="I276" s="4">
        <f t="shared" si="17"/>
        <v>35.991</v>
      </c>
      <c r="J276" s="4">
        <f t="shared" si="18"/>
        <v>18.991</v>
      </c>
      <c r="K276" s="9">
        <f t="shared" si="19"/>
        <v>0.52765969270095303</v>
      </c>
      <c r="L276" s="2" t="str">
        <f>IF(VLOOKUP(B276,Orders!$A:$D,4,FALSE())="Vrátená",INDEX({"Nevyhovujúca veľkosť";"Poškodený tovar pri doprave";"Produkt nezodpovedal popisu";"Zákazník zmenil názor";"Neskoré doručenie";"Chybný/vadný kus";"Duplicitná objednávka"},MOD(CODE(LEFT(A276,1))+LEN(A276),7)+1),"")</f>
        <v/>
      </c>
    </row>
    <row r="277" spans="1:12" x14ac:dyDescent="0.3">
      <c r="A277" s="5" t="s">
        <v>624</v>
      </c>
      <c r="B277" s="5" t="s">
        <v>217</v>
      </c>
      <c r="C277" s="5" t="s">
        <v>364</v>
      </c>
      <c r="D277" s="5">
        <v>2</v>
      </c>
      <c r="E277" s="7">
        <f>VLOOKUP(C277,Products!$A:$E,4,FALSE())</f>
        <v>49.99</v>
      </c>
      <c r="F277" s="10">
        <v>0.15</v>
      </c>
      <c r="G277" s="7">
        <f t="shared" si="16"/>
        <v>42.491500000000002</v>
      </c>
      <c r="H277" s="7">
        <f>VLOOKUP(C277,Products!$A:$E,5,FALSE())</f>
        <v>22</v>
      </c>
      <c r="I277" s="7">
        <f t="shared" si="17"/>
        <v>84.983000000000004</v>
      </c>
      <c r="J277" s="7">
        <f t="shared" si="18"/>
        <v>40.983000000000004</v>
      </c>
      <c r="K277" s="11">
        <f t="shared" si="19"/>
        <v>0.48224939105468156</v>
      </c>
      <c r="L277" s="5" t="str">
        <f>IF(VLOOKUP(B277,Orders!$A:$D,4,FALSE())="Vrátená",INDEX({"Nevyhovujúca veľkosť";"Poškodený tovar pri doprave";"Produkt nezodpovedal popisu";"Zákazník zmenil názor";"Neskoré doručenie";"Chybný/vadný kus";"Duplicitná objednávka"},MOD(CODE(LEFT(A277,1))+LEN(A277),7)+1),"")</f>
        <v/>
      </c>
    </row>
    <row r="278" spans="1:12" x14ac:dyDescent="0.3">
      <c r="A278" s="2" t="s">
        <v>625</v>
      </c>
      <c r="B278" s="2" t="s">
        <v>218</v>
      </c>
      <c r="C278" s="2" t="s">
        <v>470</v>
      </c>
      <c r="D278" s="2">
        <v>4</v>
      </c>
      <c r="E278" s="4">
        <f>VLOOKUP(C278,Products!$A:$E,4,FALSE())</f>
        <v>44.99</v>
      </c>
      <c r="F278" s="8">
        <v>0</v>
      </c>
      <c r="G278" s="4">
        <f t="shared" si="16"/>
        <v>44.99</v>
      </c>
      <c r="H278" s="4">
        <f>VLOOKUP(C278,Products!$A:$E,5,FALSE())</f>
        <v>18</v>
      </c>
      <c r="I278" s="4">
        <f t="shared" si="17"/>
        <v>179.96</v>
      </c>
      <c r="J278" s="4">
        <f t="shared" si="18"/>
        <v>107.96000000000001</v>
      </c>
      <c r="K278" s="9">
        <f t="shared" si="19"/>
        <v>0.59991109135363418</v>
      </c>
      <c r="L278" s="2" t="str">
        <f>IF(VLOOKUP(B278,Orders!$A:$D,4,FALSE())="Vrátená",INDEX({"Nevyhovujúca veľkosť";"Poškodený tovar pri doprave";"Produkt nezodpovedal popisu";"Zákazník zmenil názor";"Neskoré doručenie";"Chybný/vadný kus";"Duplicitná objednávka"},MOD(CODE(LEFT(A278,1))+LEN(A278),7)+1),"")</f>
        <v/>
      </c>
    </row>
    <row r="279" spans="1:12" x14ac:dyDescent="0.3">
      <c r="A279" s="5" t="s">
        <v>626</v>
      </c>
      <c r="B279" s="5" t="s">
        <v>218</v>
      </c>
      <c r="C279" s="5" t="s">
        <v>300</v>
      </c>
      <c r="D279" s="5">
        <v>1</v>
      </c>
      <c r="E279" s="7">
        <f>VLOOKUP(C279,Products!$A:$E,4,FALSE())</f>
        <v>39.99</v>
      </c>
      <c r="F279" s="10">
        <v>0</v>
      </c>
      <c r="G279" s="7">
        <f t="shared" si="16"/>
        <v>39.99</v>
      </c>
      <c r="H279" s="7">
        <f>VLOOKUP(C279,Products!$A:$E,5,FALSE())</f>
        <v>17</v>
      </c>
      <c r="I279" s="7">
        <f t="shared" si="17"/>
        <v>39.99</v>
      </c>
      <c r="J279" s="7">
        <f t="shared" si="18"/>
        <v>22.990000000000002</v>
      </c>
      <c r="K279" s="11">
        <f t="shared" si="19"/>
        <v>0.57489372343085776</v>
      </c>
      <c r="L279" s="5" t="str">
        <f>IF(VLOOKUP(B279,Orders!$A:$D,4,FALSE())="Vrátená",INDEX({"Nevyhovujúca veľkosť";"Poškodený tovar pri doprave";"Produkt nezodpovedal popisu";"Zákazník zmenil názor";"Neskoré doručenie";"Chybný/vadný kus";"Duplicitná objednávka"},MOD(CODE(LEFT(A279,1))+LEN(A279),7)+1),"")</f>
        <v/>
      </c>
    </row>
    <row r="280" spans="1:12" x14ac:dyDescent="0.3">
      <c r="A280" s="2" t="s">
        <v>627</v>
      </c>
      <c r="B280" s="2" t="s">
        <v>219</v>
      </c>
      <c r="C280" s="2" t="s">
        <v>310</v>
      </c>
      <c r="D280" s="2">
        <v>2</v>
      </c>
      <c r="E280" s="4">
        <f>VLOOKUP(C280,Products!$A:$E,4,FALSE())</f>
        <v>34.99</v>
      </c>
      <c r="F280" s="8">
        <v>0</v>
      </c>
      <c r="G280" s="4">
        <f t="shared" si="16"/>
        <v>34.99</v>
      </c>
      <c r="H280" s="4">
        <f>VLOOKUP(C280,Products!$A:$E,5,FALSE())</f>
        <v>14</v>
      </c>
      <c r="I280" s="4">
        <f t="shared" si="17"/>
        <v>69.98</v>
      </c>
      <c r="J280" s="4">
        <f t="shared" si="18"/>
        <v>41.980000000000004</v>
      </c>
      <c r="K280" s="9">
        <f t="shared" si="19"/>
        <v>0.59988568162332101</v>
      </c>
      <c r="L280" s="2" t="str">
        <f>IF(VLOOKUP(B280,Orders!$A:$D,4,FALSE())="Vrátená",INDEX({"Nevyhovujúca veľkosť";"Poškodený tovar pri doprave";"Produkt nezodpovedal popisu";"Zákazník zmenil názor";"Neskoré doručenie";"Chybný/vadný kus";"Duplicitná objednávka"},MOD(CODE(LEFT(A280,1))+LEN(A280),7)+1),"")</f>
        <v/>
      </c>
    </row>
    <row r="281" spans="1:12" x14ac:dyDescent="0.3">
      <c r="A281" s="5" t="s">
        <v>628</v>
      </c>
      <c r="B281" s="5" t="s">
        <v>219</v>
      </c>
      <c r="C281" s="5" t="s">
        <v>318</v>
      </c>
      <c r="D281" s="5">
        <v>4</v>
      </c>
      <c r="E281" s="7">
        <f>VLOOKUP(C281,Products!$A:$E,4,FALSE())</f>
        <v>29.99</v>
      </c>
      <c r="F281" s="10">
        <v>0.1</v>
      </c>
      <c r="G281" s="7">
        <f t="shared" si="16"/>
        <v>26.991</v>
      </c>
      <c r="H281" s="7">
        <f>VLOOKUP(C281,Products!$A:$E,5,FALSE())</f>
        <v>13</v>
      </c>
      <c r="I281" s="7">
        <f t="shared" si="17"/>
        <v>107.964</v>
      </c>
      <c r="J281" s="7">
        <f t="shared" si="18"/>
        <v>55.963999999999999</v>
      </c>
      <c r="K281" s="11">
        <f t="shared" si="19"/>
        <v>0.51835797117557703</v>
      </c>
      <c r="L281" s="5" t="str">
        <f>IF(VLOOKUP(B281,Orders!$A:$D,4,FALSE())="Vrátená",INDEX({"Nevyhovujúca veľkosť";"Poškodený tovar pri doprave";"Produkt nezodpovedal popisu";"Zákazník zmenil názor";"Neskoré doručenie";"Chybný/vadný kus";"Duplicitná objednávka"},MOD(CODE(LEFT(A281,1))+LEN(A281),7)+1),"")</f>
        <v/>
      </c>
    </row>
    <row r="282" spans="1:12" x14ac:dyDescent="0.3">
      <c r="A282" s="2" t="s">
        <v>629</v>
      </c>
      <c r="B282" s="2" t="s">
        <v>220</v>
      </c>
      <c r="C282" s="2" t="s">
        <v>492</v>
      </c>
      <c r="D282" s="2">
        <v>1</v>
      </c>
      <c r="E282" s="4">
        <f>VLOOKUP(C282,Products!$A:$E,4,FALSE())</f>
        <v>11.99</v>
      </c>
      <c r="F282" s="8">
        <v>0.15</v>
      </c>
      <c r="G282" s="4">
        <f t="shared" si="16"/>
        <v>10.1915</v>
      </c>
      <c r="H282" s="4">
        <f>VLOOKUP(C282,Products!$A:$E,5,FALSE())</f>
        <v>4</v>
      </c>
      <c r="I282" s="4">
        <f t="shared" si="17"/>
        <v>10.1915</v>
      </c>
      <c r="J282" s="4">
        <f t="shared" si="18"/>
        <v>6.1914999999999996</v>
      </c>
      <c r="K282" s="9">
        <f t="shared" si="19"/>
        <v>0.60751606731099439</v>
      </c>
      <c r="L282" s="2" t="str">
        <f>IF(VLOOKUP(B282,Orders!$A:$D,4,FALSE())="Vrátená",INDEX({"Nevyhovujúca veľkosť";"Poškodený tovar pri doprave";"Produkt nezodpovedal popisu";"Zákazník zmenil názor";"Neskoré doručenie";"Chybný/vadný kus";"Duplicitná objednávka"},MOD(CODE(LEFT(A282,1))+LEN(A282),7)+1),"")</f>
        <v>Produkt nezodpovedal popisu</v>
      </c>
    </row>
    <row r="283" spans="1:12" x14ac:dyDescent="0.3">
      <c r="A283" s="5" t="s">
        <v>630</v>
      </c>
      <c r="B283" s="5" t="s">
        <v>221</v>
      </c>
      <c r="C283" s="5" t="s">
        <v>598</v>
      </c>
      <c r="D283" s="5">
        <v>1</v>
      </c>
      <c r="E283" s="7">
        <f>VLOOKUP(C283,Products!$A:$E,4,FALSE())</f>
        <v>13.99</v>
      </c>
      <c r="F283" s="10">
        <v>0.05</v>
      </c>
      <c r="G283" s="7">
        <f t="shared" si="16"/>
        <v>13.2905</v>
      </c>
      <c r="H283" s="7">
        <f>VLOOKUP(C283,Products!$A:$E,5,FALSE())</f>
        <v>4.5</v>
      </c>
      <c r="I283" s="7">
        <f t="shared" si="17"/>
        <v>13.2905</v>
      </c>
      <c r="J283" s="7">
        <f t="shared" si="18"/>
        <v>8.7904999999999998</v>
      </c>
      <c r="K283" s="11">
        <f t="shared" si="19"/>
        <v>0.66141228697189725</v>
      </c>
      <c r="L283" s="5" t="str">
        <f>IF(VLOOKUP(B283,Orders!$A:$D,4,FALSE())="Vrátená",INDEX({"Nevyhovujúca veľkosť";"Poškodený tovar pri doprave";"Produkt nezodpovedal popisu";"Zákazník zmenil názor";"Neskoré doručenie";"Chybný/vadný kus";"Duplicitná objednávka"},MOD(CODE(LEFT(A283,1))+LEN(A283),7)+1),"")</f>
        <v/>
      </c>
    </row>
    <row r="284" spans="1:12" x14ac:dyDescent="0.3">
      <c r="A284" s="2" t="s">
        <v>631</v>
      </c>
      <c r="B284" s="2" t="s">
        <v>221</v>
      </c>
      <c r="C284" s="2" t="s">
        <v>386</v>
      </c>
      <c r="D284" s="2">
        <v>2</v>
      </c>
      <c r="E284" s="4">
        <f>VLOOKUP(C284,Products!$A:$E,4,FALSE())</f>
        <v>64.989999999999995</v>
      </c>
      <c r="F284" s="8">
        <v>0.15</v>
      </c>
      <c r="G284" s="4">
        <f t="shared" si="16"/>
        <v>55.241499999999995</v>
      </c>
      <c r="H284" s="4">
        <f>VLOOKUP(C284,Products!$A:$E,5,FALSE())</f>
        <v>28</v>
      </c>
      <c r="I284" s="4">
        <f t="shared" si="17"/>
        <v>110.48299999999999</v>
      </c>
      <c r="J284" s="4">
        <f t="shared" si="18"/>
        <v>54.48299999999999</v>
      </c>
      <c r="K284" s="9">
        <f t="shared" si="19"/>
        <v>0.49313469040485863</v>
      </c>
      <c r="L284" s="2" t="str">
        <f>IF(VLOOKUP(B284,Orders!$A:$D,4,FALSE())="Vrátená",INDEX({"Nevyhovujúca veľkosť";"Poškodený tovar pri doprave";"Produkt nezodpovedal popisu";"Zákazník zmenil názor";"Neskoré doručenie";"Chybný/vadný kus";"Duplicitná objednávka"},MOD(CODE(LEFT(A284,1))+LEN(A284),7)+1),"")</f>
        <v/>
      </c>
    </row>
    <row r="285" spans="1:12" x14ac:dyDescent="0.3">
      <c r="A285" s="5" t="s">
        <v>632</v>
      </c>
      <c r="B285" s="5" t="s">
        <v>221</v>
      </c>
      <c r="C285" s="5" t="s">
        <v>330</v>
      </c>
      <c r="D285" s="5">
        <v>2</v>
      </c>
      <c r="E285" s="7">
        <f>VLOOKUP(C285,Products!$A:$E,4,FALSE())</f>
        <v>14.99</v>
      </c>
      <c r="F285" s="10">
        <v>0.15</v>
      </c>
      <c r="G285" s="7">
        <f t="shared" si="16"/>
        <v>12.7415</v>
      </c>
      <c r="H285" s="7">
        <f>VLOOKUP(C285,Products!$A:$E,5,FALSE())</f>
        <v>5.5</v>
      </c>
      <c r="I285" s="7">
        <f t="shared" si="17"/>
        <v>25.483000000000001</v>
      </c>
      <c r="J285" s="7">
        <f t="shared" si="18"/>
        <v>14.483000000000001</v>
      </c>
      <c r="K285" s="11">
        <f t="shared" si="19"/>
        <v>0.56833967743201352</v>
      </c>
      <c r="L285" s="5" t="str">
        <f>IF(VLOOKUP(B285,Orders!$A:$D,4,FALSE())="Vrátená",INDEX({"Nevyhovujúca veľkosť";"Poškodený tovar pri doprave";"Produkt nezodpovedal popisu";"Zákazník zmenil názor";"Neskoré doručenie";"Chybný/vadný kus";"Duplicitná objednávka"},MOD(CODE(LEFT(A285,1))+LEN(A285),7)+1),"")</f>
        <v/>
      </c>
    </row>
    <row r="286" spans="1:12" x14ac:dyDescent="0.3">
      <c r="A286" s="2" t="s">
        <v>633</v>
      </c>
      <c r="B286" s="2" t="s">
        <v>222</v>
      </c>
      <c r="C286" s="2" t="s">
        <v>517</v>
      </c>
      <c r="D286" s="2">
        <v>1</v>
      </c>
      <c r="E286" s="4">
        <f>VLOOKUP(C286,Products!$A:$E,4,FALSE())</f>
        <v>26.49</v>
      </c>
      <c r="F286" s="8">
        <v>0</v>
      </c>
      <c r="G286" s="4">
        <f t="shared" si="16"/>
        <v>26.49</v>
      </c>
      <c r="H286" s="4">
        <f>VLOOKUP(C286,Products!$A:$E,5,FALSE())</f>
        <v>10.5</v>
      </c>
      <c r="I286" s="4">
        <f t="shared" si="17"/>
        <v>26.49</v>
      </c>
      <c r="J286" s="4">
        <f t="shared" si="18"/>
        <v>15.989999999999998</v>
      </c>
      <c r="K286" s="9">
        <f t="shared" si="19"/>
        <v>0.60362400906002267</v>
      </c>
      <c r="L286" s="2" t="str">
        <f>IF(VLOOKUP(B286,Orders!$A:$D,4,FALSE())="Vrátená",INDEX({"Nevyhovujúca veľkosť";"Poškodený tovar pri doprave";"Produkt nezodpovedal popisu";"Zákazník zmenil názor";"Neskoré doručenie";"Chybný/vadný kus";"Duplicitná objednávka"},MOD(CODE(LEFT(A286,1))+LEN(A286),7)+1),"")</f>
        <v/>
      </c>
    </row>
    <row r="287" spans="1:12" x14ac:dyDescent="0.3">
      <c r="A287" s="5" t="s">
        <v>634</v>
      </c>
      <c r="B287" s="5" t="s">
        <v>222</v>
      </c>
      <c r="C287" s="5" t="s">
        <v>340</v>
      </c>
      <c r="D287" s="5">
        <v>3</v>
      </c>
      <c r="E287" s="7">
        <f>VLOOKUP(C287,Products!$A:$E,4,FALSE())</f>
        <v>44.99</v>
      </c>
      <c r="F287" s="10">
        <v>0</v>
      </c>
      <c r="G287" s="7">
        <f t="shared" si="16"/>
        <v>44.99</v>
      </c>
      <c r="H287" s="7">
        <f>VLOOKUP(C287,Products!$A:$E,5,FALSE())</f>
        <v>18</v>
      </c>
      <c r="I287" s="7">
        <f t="shared" si="17"/>
        <v>134.97</v>
      </c>
      <c r="J287" s="7">
        <f t="shared" si="18"/>
        <v>80.97</v>
      </c>
      <c r="K287" s="11">
        <f t="shared" si="19"/>
        <v>0.59991109135363418</v>
      </c>
      <c r="L287" s="5" t="str">
        <f>IF(VLOOKUP(B287,Orders!$A:$D,4,FALSE())="Vrátená",INDEX({"Nevyhovujúca veľkosť";"Poškodený tovar pri doprave";"Produkt nezodpovedal popisu";"Zákazník zmenil názor";"Neskoré doručenie";"Chybný/vadný kus";"Duplicitná objednávka"},MOD(CODE(LEFT(A287,1))+LEN(A287),7)+1),"")</f>
        <v/>
      </c>
    </row>
    <row r="288" spans="1:12" x14ac:dyDescent="0.3">
      <c r="A288" s="2" t="s">
        <v>635</v>
      </c>
      <c r="B288" s="2" t="s">
        <v>223</v>
      </c>
      <c r="C288" s="2" t="s">
        <v>310</v>
      </c>
      <c r="D288" s="2">
        <v>2</v>
      </c>
      <c r="E288" s="4">
        <f>VLOOKUP(C288,Products!$A:$E,4,FALSE())</f>
        <v>34.99</v>
      </c>
      <c r="F288" s="8">
        <v>0.15</v>
      </c>
      <c r="G288" s="4">
        <f t="shared" si="16"/>
        <v>29.741500000000002</v>
      </c>
      <c r="H288" s="4">
        <f>VLOOKUP(C288,Products!$A:$E,5,FALSE())</f>
        <v>14</v>
      </c>
      <c r="I288" s="4">
        <f t="shared" si="17"/>
        <v>59.483000000000004</v>
      </c>
      <c r="J288" s="4">
        <f t="shared" si="18"/>
        <v>31.483000000000004</v>
      </c>
      <c r="K288" s="9">
        <f t="shared" si="19"/>
        <v>0.5292772724980247</v>
      </c>
      <c r="L288" s="2" t="str">
        <f>IF(VLOOKUP(B288,Orders!$A:$D,4,FALSE())="Vrátená",INDEX({"Nevyhovujúca veľkosť";"Poškodený tovar pri doprave";"Produkt nezodpovedal popisu";"Zákazník zmenil názor";"Neskoré doručenie";"Chybný/vadný kus";"Duplicitná objednávka"},MOD(CODE(LEFT(A288,1))+LEN(A288),7)+1),"")</f>
        <v/>
      </c>
    </row>
    <row r="289" spans="1:12" x14ac:dyDescent="0.3">
      <c r="A289" s="5" t="s">
        <v>636</v>
      </c>
      <c r="B289" s="5" t="s">
        <v>224</v>
      </c>
      <c r="C289" s="5" t="s">
        <v>598</v>
      </c>
      <c r="D289" s="5">
        <v>5</v>
      </c>
      <c r="E289" s="7">
        <f>VLOOKUP(C289,Products!$A:$E,4,FALSE())</f>
        <v>13.99</v>
      </c>
      <c r="F289" s="10">
        <v>0.1</v>
      </c>
      <c r="G289" s="7">
        <f t="shared" si="16"/>
        <v>12.591000000000001</v>
      </c>
      <c r="H289" s="7">
        <f>VLOOKUP(C289,Products!$A:$E,5,FALSE())</f>
        <v>4.5</v>
      </c>
      <c r="I289" s="7">
        <f t="shared" si="17"/>
        <v>62.955000000000005</v>
      </c>
      <c r="J289" s="7">
        <f t="shared" si="18"/>
        <v>40.455000000000005</v>
      </c>
      <c r="K289" s="11">
        <f t="shared" si="19"/>
        <v>0.64260185847033602</v>
      </c>
      <c r="L289" s="5" t="str">
        <f>IF(VLOOKUP(B289,Orders!$A:$D,4,FALSE())="Vrátená",INDEX({"Nevyhovujúca veľkosť";"Poškodený tovar pri doprave";"Produkt nezodpovedal popisu";"Zákazník zmenil názor";"Neskoré doručenie";"Chybný/vadný kus";"Duplicitná objednávka"},MOD(CODE(LEFT(A289,1))+LEN(A289),7)+1),"")</f>
        <v/>
      </c>
    </row>
    <row r="290" spans="1:12" x14ac:dyDescent="0.3">
      <c r="A290" s="2" t="s">
        <v>637</v>
      </c>
      <c r="B290" s="2" t="s">
        <v>224</v>
      </c>
      <c r="C290" s="2" t="s">
        <v>352</v>
      </c>
      <c r="D290" s="2">
        <v>2</v>
      </c>
      <c r="E290" s="4">
        <f>VLOOKUP(C290,Products!$A:$E,4,FALSE())</f>
        <v>189.99</v>
      </c>
      <c r="F290" s="8">
        <v>0.1</v>
      </c>
      <c r="G290" s="4">
        <f t="shared" si="16"/>
        <v>170.99100000000001</v>
      </c>
      <c r="H290" s="4">
        <f>VLOOKUP(C290,Products!$A:$E,5,FALSE())</f>
        <v>110</v>
      </c>
      <c r="I290" s="4">
        <f t="shared" si="17"/>
        <v>341.98200000000003</v>
      </c>
      <c r="J290" s="4">
        <f t="shared" si="18"/>
        <v>121.98200000000003</v>
      </c>
      <c r="K290" s="9">
        <f t="shared" si="19"/>
        <v>0.3566912878455592</v>
      </c>
      <c r="L290" s="2" t="str">
        <f>IF(VLOOKUP(B290,Orders!$A:$D,4,FALSE())="Vrátená",INDEX({"Nevyhovujúca veľkosť";"Poškodený tovar pri doprave";"Produkt nezodpovedal popisu";"Zákazník zmenil názor";"Neskoré doručenie";"Chybný/vadný kus";"Duplicitná objednávka"},MOD(CODE(LEFT(A290,1))+LEN(A290),7)+1),"")</f>
        <v/>
      </c>
    </row>
    <row r="291" spans="1:12" x14ac:dyDescent="0.3">
      <c r="A291" s="5" t="s">
        <v>638</v>
      </c>
      <c r="B291" s="5" t="s">
        <v>224</v>
      </c>
      <c r="C291" s="5" t="s">
        <v>342</v>
      </c>
      <c r="D291" s="5">
        <v>1</v>
      </c>
      <c r="E291" s="7">
        <f>VLOOKUP(C291,Products!$A:$E,4,FALSE())</f>
        <v>29.99</v>
      </c>
      <c r="F291" s="10">
        <v>0.05</v>
      </c>
      <c r="G291" s="7">
        <f t="shared" si="16"/>
        <v>28.490499999999997</v>
      </c>
      <c r="H291" s="7">
        <f>VLOOKUP(C291,Products!$A:$E,5,FALSE())</f>
        <v>12.5</v>
      </c>
      <c r="I291" s="7">
        <f t="shared" si="17"/>
        <v>28.490499999999997</v>
      </c>
      <c r="J291" s="7">
        <f t="shared" si="18"/>
        <v>15.990499999999997</v>
      </c>
      <c r="K291" s="11">
        <f t="shared" si="19"/>
        <v>0.56125726119232722</v>
      </c>
      <c r="L291" s="5" t="str">
        <f>IF(VLOOKUP(B291,Orders!$A:$D,4,FALSE())="Vrátená",INDEX({"Nevyhovujúca veľkosť";"Poškodený tovar pri doprave";"Produkt nezodpovedal popisu";"Zákazník zmenil názor";"Neskoré doručenie";"Chybný/vadný kus";"Duplicitná objednávka"},MOD(CODE(LEFT(A291,1))+LEN(A291),7)+1),"")</f>
        <v/>
      </c>
    </row>
    <row r="292" spans="1:12" x14ac:dyDescent="0.3">
      <c r="A292" s="2" t="s">
        <v>639</v>
      </c>
      <c r="B292" s="2" t="s">
        <v>225</v>
      </c>
      <c r="C292" s="2" t="s">
        <v>308</v>
      </c>
      <c r="D292" s="2">
        <v>1</v>
      </c>
      <c r="E292" s="4">
        <f>VLOOKUP(C292,Products!$A:$E,4,FALSE())</f>
        <v>22.49</v>
      </c>
      <c r="F292" s="8">
        <v>0</v>
      </c>
      <c r="G292" s="4">
        <f t="shared" si="16"/>
        <v>22.49</v>
      </c>
      <c r="H292" s="4">
        <f>VLOOKUP(C292,Products!$A:$E,5,FALSE())</f>
        <v>9</v>
      </c>
      <c r="I292" s="4">
        <f t="shared" si="17"/>
        <v>22.49</v>
      </c>
      <c r="J292" s="4">
        <f t="shared" si="18"/>
        <v>13.489999999999998</v>
      </c>
      <c r="K292" s="9">
        <f t="shared" si="19"/>
        <v>0.59982214317474425</v>
      </c>
      <c r="L292" s="2" t="str">
        <f>IF(VLOOKUP(B292,Orders!$A:$D,4,FALSE())="Vrátená",INDEX({"Nevyhovujúca veľkosť";"Poškodený tovar pri doprave";"Produkt nezodpovedal popisu";"Zákazník zmenil názor";"Neskoré doručenie";"Chybný/vadný kus";"Duplicitná objednávka"},MOD(CODE(LEFT(A292,1))+LEN(A292),7)+1),"")</f>
        <v/>
      </c>
    </row>
    <row r="293" spans="1:12" x14ac:dyDescent="0.3">
      <c r="A293" s="5" t="s">
        <v>640</v>
      </c>
      <c r="B293" s="5" t="s">
        <v>225</v>
      </c>
      <c r="C293" s="5" t="s">
        <v>378</v>
      </c>
      <c r="D293" s="5">
        <v>2</v>
      </c>
      <c r="E293" s="7">
        <f>VLOOKUP(C293,Products!$A:$E,4,FALSE())</f>
        <v>37.49</v>
      </c>
      <c r="F293" s="10">
        <v>0.2</v>
      </c>
      <c r="G293" s="7">
        <f t="shared" si="16"/>
        <v>29.992000000000004</v>
      </c>
      <c r="H293" s="7">
        <f>VLOOKUP(C293,Products!$A:$E,5,FALSE())</f>
        <v>15</v>
      </c>
      <c r="I293" s="7">
        <f t="shared" si="17"/>
        <v>59.984000000000009</v>
      </c>
      <c r="J293" s="7">
        <f t="shared" si="18"/>
        <v>29.984000000000009</v>
      </c>
      <c r="K293" s="11">
        <f t="shared" si="19"/>
        <v>0.49986663110162716</v>
      </c>
      <c r="L293" s="5" t="str">
        <f>IF(VLOOKUP(B293,Orders!$A:$D,4,FALSE())="Vrátená",INDEX({"Nevyhovujúca veľkosť";"Poškodený tovar pri doprave";"Produkt nezodpovedal popisu";"Zákazník zmenil názor";"Neskoré doručenie";"Chybný/vadný kus";"Duplicitná objednávka"},MOD(CODE(LEFT(A293,1))+LEN(A293),7)+1),"")</f>
        <v/>
      </c>
    </row>
    <row r="294" spans="1:12" x14ac:dyDescent="0.3">
      <c r="A294" s="2" t="s">
        <v>641</v>
      </c>
      <c r="B294" s="2" t="s">
        <v>225</v>
      </c>
      <c r="C294" s="2" t="s">
        <v>324</v>
      </c>
      <c r="D294" s="2">
        <v>2</v>
      </c>
      <c r="E294" s="4">
        <f>VLOOKUP(C294,Products!$A:$E,4,FALSE())</f>
        <v>13.99</v>
      </c>
      <c r="F294" s="8">
        <v>0</v>
      </c>
      <c r="G294" s="4">
        <f t="shared" si="16"/>
        <v>13.99</v>
      </c>
      <c r="H294" s="4">
        <f>VLOOKUP(C294,Products!$A:$E,5,FALSE())</f>
        <v>5</v>
      </c>
      <c r="I294" s="4">
        <f t="shared" si="17"/>
        <v>27.98</v>
      </c>
      <c r="J294" s="4">
        <f t="shared" si="18"/>
        <v>17.98</v>
      </c>
      <c r="K294" s="9">
        <f t="shared" si="19"/>
        <v>0.64260185847033591</v>
      </c>
      <c r="L294" s="2" t="str">
        <f>IF(VLOOKUP(B294,Orders!$A:$D,4,FALSE())="Vrátená",INDEX({"Nevyhovujúca veľkosť";"Poškodený tovar pri doprave";"Produkt nezodpovedal popisu";"Zákazník zmenil názor";"Neskoré doručenie";"Chybný/vadný kus";"Duplicitná objednávka"},MOD(CODE(LEFT(A294,1))+LEN(A294),7)+1),"")</f>
        <v/>
      </c>
    </row>
    <row r="295" spans="1:12" x14ac:dyDescent="0.3">
      <c r="A295" s="5" t="s">
        <v>642</v>
      </c>
      <c r="B295" s="5" t="s">
        <v>227</v>
      </c>
      <c r="C295" s="5" t="s">
        <v>437</v>
      </c>
      <c r="D295" s="5">
        <v>1</v>
      </c>
      <c r="E295" s="7">
        <f>VLOOKUP(C295,Products!$A:$E,4,FALSE())</f>
        <v>29.99</v>
      </c>
      <c r="F295" s="10">
        <v>0.05</v>
      </c>
      <c r="G295" s="7">
        <f t="shared" si="16"/>
        <v>28.490499999999997</v>
      </c>
      <c r="H295" s="7">
        <f>VLOOKUP(C295,Products!$A:$E,5,FALSE())</f>
        <v>11</v>
      </c>
      <c r="I295" s="7">
        <f t="shared" si="17"/>
        <v>28.490499999999997</v>
      </c>
      <c r="J295" s="7">
        <f t="shared" si="18"/>
        <v>17.490499999999997</v>
      </c>
      <c r="K295" s="11">
        <f t="shared" si="19"/>
        <v>0.61390638984924795</v>
      </c>
      <c r="L295" s="5" t="str">
        <f>IF(VLOOKUP(B295,Orders!$A:$D,4,FALSE())="Vrátená",INDEX({"Nevyhovujúca veľkosť";"Poškodený tovar pri doprave";"Produkt nezodpovedal popisu";"Zákazník zmenil názor";"Neskoré doručenie";"Chybný/vadný kus";"Duplicitná objednávka"},MOD(CODE(LEFT(A295,1))+LEN(A295),7)+1),"")</f>
        <v/>
      </c>
    </row>
    <row r="296" spans="1:12" x14ac:dyDescent="0.3">
      <c r="A296" s="2" t="s">
        <v>643</v>
      </c>
      <c r="B296" s="2" t="s">
        <v>227</v>
      </c>
      <c r="C296" s="2" t="s">
        <v>304</v>
      </c>
      <c r="D296" s="2">
        <v>1</v>
      </c>
      <c r="E296" s="4">
        <f>VLOOKUP(C296,Products!$A:$E,4,FALSE())</f>
        <v>42.99</v>
      </c>
      <c r="F296" s="8">
        <v>0.15</v>
      </c>
      <c r="G296" s="4">
        <f t="shared" si="16"/>
        <v>36.541499999999999</v>
      </c>
      <c r="H296" s="4">
        <f>VLOOKUP(C296,Products!$A:$E,5,FALSE())</f>
        <v>19.5</v>
      </c>
      <c r="I296" s="4">
        <f t="shared" si="17"/>
        <v>36.541499999999999</v>
      </c>
      <c r="J296" s="4">
        <f t="shared" si="18"/>
        <v>17.041499999999999</v>
      </c>
      <c r="K296" s="9">
        <f t="shared" si="19"/>
        <v>0.46636016583884077</v>
      </c>
      <c r="L296" s="2" t="str">
        <f>IF(VLOOKUP(B296,Orders!$A:$D,4,FALSE())="Vrátená",INDEX({"Nevyhovujúca veľkosť";"Poškodený tovar pri doprave";"Produkt nezodpovedal popisu";"Zákazník zmenil názor";"Neskoré doručenie";"Chybný/vadný kus";"Duplicitná objednávka"},MOD(CODE(LEFT(A296,1))+LEN(A296),7)+1),"")</f>
        <v/>
      </c>
    </row>
    <row r="297" spans="1:12" x14ac:dyDescent="0.3">
      <c r="A297" s="5" t="s">
        <v>644</v>
      </c>
      <c r="B297" s="5" t="s">
        <v>227</v>
      </c>
      <c r="C297" s="5" t="s">
        <v>308</v>
      </c>
      <c r="D297" s="5">
        <v>1</v>
      </c>
      <c r="E297" s="7">
        <f>VLOOKUP(C297,Products!$A:$E,4,FALSE())</f>
        <v>22.49</v>
      </c>
      <c r="F297" s="10">
        <v>0.05</v>
      </c>
      <c r="G297" s="7">
        <f t="shared" si="16"/>
        <v>21.365499999999997</v>
      </c>
      <c r="H297" s="7">
        <f>VLOOKUP(C297,Products!$A:$E,5,FALSE())</f>
        <v>9</v>
      </c>
      <c r="I297" s="7">
        <f t="shared" si="17"/>
        <v>21.365499999999997</v>
      </c>
      <c r="J297" s="7">
        <f t="shared" si="18"/>
        <v>12.365499999999997</v>
      </c>
      <c r="K297" s="11">
        <f t="shared" si="19"/>
        <v>0.5787601507102571</v>
      </c>
      <c r="L297" s="5" t="str">
        <f>IF(VLOOKUP(B297,Orders!$A:$D,4,FALSE())="Vrátená",INDEX({"Nevyhovujúca veľkosť";"Poškodený tovar pri doprave";"Produkt nezodpovedal popisu";"Zákazník zmenil názor";"Neskoré doručenie";"Chybný/vadný kus";"Duplicitná objednávka"},MOD(CODE(LEFT(A297,1))+LEN(A297),7)+1),"")</f>
        <v/>
      </c>
    </row>
    <row r="298" spans="1:12" x14ac:dyDescent="0.3">
      <c r="A298" s="2" t="s">
        <v>645</v>
      </c>
      <c r="B298" s="2" t="s">
        <v>228</v>
      </c>
      <c r="C298" s="2" t="s">
        <v>320</v>
      </c>
      <c r="D298" s="2">
        <v>1</v>
      </c>
      <c r="E298" s="4">
        <f>VLOOKUP(C298,Products!$A:$E,4,FALSE())</f>
        <v>29.99</v>
      </c>
      <c r="F298" s="8">
        <v>0.05</v>
      </c>
      <c r="G298" s="4">
        <f t="shared" si="16"/>
        <v>28.490499999999997</v>
      </c>
      <c r="H298" s="4">
        <f>VLOOKUP(C298,Products!$A:$E,5,FALSE())</f>
        <v>12</v>
      </c>
      <c r="I298" s="4">
        <f t="shared" si="17"/>
        <v>28.490499999999997</v>
      </c>
      <c r="J298" s="4">
        <f t="shared" si="18"/>
        <v>16.490499999999997</v>
      </c>
      <c r="K298" s="9">
        <f t="shared" si="19"/>
        <v>0.57880697074463416</v>
      </c>
      <c r="L298" s="2" t="str">
        <f>IF(VLOOKUP(B298,Orders!$A:$D,4,FALSE())="Vrátená",INDEX({"Nevyhovujúca veľkosť";"Poškodený tovar pri doprave";"Produkt nezodpovedal popisu";"Zákazník zmenil názor";"Neskoré doručenie";"Chybný/vadný kus";"Duplicitná objednávka"},MOD(CODE(LEFT(A298,1))+LEN(A298),7)+1),"")</f>
        <v/>
      </c>
    </row>
    <row r="299" spans="1:12" x14ac:dyDescent="0.3">
      <c r="A299" s="5" t="s">
        <v>646</v>
      </c>
      <c r="B299" s="5" t="s">
        <v>229</v>
      </c>
      <c r="C299" s="5" t="s">
        <v>318</v>
      </c>
      <c r="D299" s="5">
        <v>1</v>
      </c>
      <c r="E299" s="7">
        <f>VLOOKUP(C299,Products!$A:$E,4,FALSE())</f>
        <v>29.99</v>
      </c>
      <c r="F299" s="10">
        <v>0</v>
      </c>
      <c r="G299" s="7">
        <f t="shared" si="16"/>
        <v>29.99</v>
      </c>
      <c r="H299" s="7">
        <f>VLOOKUP(C299,Products!$A:$E,5,FALSE())</f>
        <v>13</v>
      </c>
      <c r="I299" s="7">
        <f t="shared" si="17"/>
        <v>29.99</v>
      </c>
      <c r="J299" s="7">
        <f t="shared" si="18"/>
        <v>16.989999999999998</v>
      </c>
      <c r="K299" s="11">
        <f t="shared" si="19"/>
        <v>0.5665221740580193</v>
      </c>
      <c r="L299" s="5" t="str">
        <f>IF(VLOOKUP(B299,Orders!$A:$D,4,FALSE())="Vrátená",INDEX({"Nevyhovujúca veľkosť";"Poškodený tovar pri doprave";"Produkt nezodpovedal popisu";"Zákazník zmenil názor";"Neskoré doručenie";"Chybný/vadný kus";"Duplicitná objednávka"},MOD(CODE(LEFT(A299,1))+LEN(A299),7)+1),"")</f>
        <v/>
      </c>
    </row>
    <row r="300" spans="1:12" x14ac:dyDescent="0.3">
      <c r="A300" s="2" t="s">
        <v>647</v>
      </c>
      <c r="B300" s="2" t="s">
        <v>230</v>
      </c>
      <c r="C300" s="2" t="s">
        <v>342</v>
      </c>
      <c r="D300" s="2">
        <v>2</v>
      </c>
      <c r="E300" s="4">
        <f>VLOOKUP(C300,Products!$A:$E,4,FALSE())</f>
        <v>29.99</v>
      </c>
      <c r="F300" s="8">
        <v>0</v>
      </c>
      <c r="G300" s="4">
        <f t="shared" si="16"/>
        <v>29.99</v>
      </c>
      <c r="H300" s="4">
        <f>VLOOKUP(C300,Products!$A:$E,5,FALSE())</f>
        <v>12.5</v>
      </c>
      <c r="I300" s="4">
        <f t="shared" si="17"/>
        <v>59.98</v>
      </c>
      <c r="J300" s="4">
        <f t="shared" si="18"/>
        <v>34.979999999999997</v>
      </c>
      <c r="K300" s="9">
        <f t="shared" si="19"/>
        <v>0.5831943981327109</v>
      </c>
      <c r="L300" s="2" t="str">
        <f>IF(VLOOKUP(B300,Orders!$A:$D,4,FALSE())="Vrátená",INDEX({"Nevyhovujúca veľkosť";"Poškodený tovar pri doprave";"Produkt nezodpovedal popisu";"Zákazník zmenil názor";"Neskoré doručenie";"Chybný/vadný kus";"Duplicitná objednávka"},MOD(CODE(LEFT(A300,1))+LEN(A300),7)+1),"")</f>
        <v/>
      </c>
    </row>
    <row r="301" spans="1:12" x14ac:dyDescent="0.3">
      <c r="A301" s="5" t="s">
        <v>648</v>
      </c>
      <c r="B301" s="5" t="s">
        <v>231</v>
      </c>
      <c r="C301" s="5" t="s">
        <v>300</v>
      </c>
      <c r="D301" s="5">
        <v>1</v>
      </c>
      <c r="E301" s="7">
        <f>VLOOKUP(C301,Products!$A:$E,4,FALSE())</f>
        <v>39.99</v>
      </c>
      <c r="F301" s="10">
        <v>0</v>
      </c>
      <c r="G301" s="7">
        <f t="shared" si="16"/>
        <v>39.99</v>
      </c>
      <c r="H301" s="7">
        <f>VLOOKUP(C301,Products!$A:$E,5,FALSE())</f>
        <v>17</v>
      </c>
      <c r="I301" s="7">
        <f t="shared" si="17"/>
        <v>39.99</v>
      </c>
      <c r="J301" s="7">
        <f t="shared" si="18"/>
        <v>22.990000000000002</v>
      </c>
      <c r="K301" s="11">
        <f t="shared" si="19"/>
        <v>0.57489372343085776</v>
      </c>
      <c r="L301" s="5" t="str">
        <f>IF(VLOOKUP(B301,Orders!$A:$D,4,FALSE())="Vrátená",INDEX({"Nevyhovujúca veľkosť";"Poškodený tovar pri doprave";"Produkt nezodpovedal popisu";"Zákazník zmenil názor";"Neskoré doručenie";"Chybný/vadný kus";"Duplicitná objednávka"},MOD(CODE(LEFT(A301,1))+LEN(A301),7)+1),"")</f>
        <v/>
      </c>
    </row>
    <row r="302" spans="1:12" x14ac:dyDescent="0.3">
      <c r="A302" s="2" t="s">
        <v>649</v>
      </c>
      <c r="B302" s="2" t="s">
        <v>231</v>
      </c>
      <c r="C302" s="2" t="s">
        <v>437</v>
      </c>
      <c r="D302" s="2">
        <v>1</v>
      </c>
      <c r="E302" s="4">
        <f>VLOOKUP(C302,Products!$A:$E,4,FALSE())</f>
        <v>29.99</v>
      </c>
      <c r="F302" s="8">
        <v>0.05</v>
      </c>
      <c r="G302" s="4">
        <f t="shared" si="16"/>
        <v>28.490499999999997</v>
      </c>
      <c r="H302" s="4">
        <f>VLOOKUP(C302,Products!$A:$E,5,FALSE())</f>
        <v>11</v>
      </c>
      <c r="I302" s="4">
        <f t="shared" si="17"/>
        <v>28.490499999999997</v>
      </c>
      <c r="J302" s="4">
        <f t="shared" si="18"/>
        <v>17.490499999999997</v>
      </c>
      <c r="K302" s="9">
        <f t="shared" si="19"/>
        <v>0.61390638984924795</v>
      </c>
      <c r="L302" s="2" t="str">
        <f>IF(VLOOKUP(B302,Orders!$A:$D,4,FALSE())="Vrátená",INDEX({"Nevyhovujúca veľkosť";"Poškodený tovar pri doprave";"Produkt nezodpovedal popisu";"Zákazník zmenil názor";"Neskoré doručenie";"Chybný/vadný kus";"Duplicitná objednávka"},MOD(CODE(LEFT(A302,1))+LEN(A302),7)+1),"")</f>
        <v/>
      </c>
    </row>
    <row r="303" spans="1:12" x14ac:dyDescent="0.3">
      <c r="A303" s="5" t="s">
        <v>650</v>
      </c>
      <c r="B303" s="5" t="s">
        <v>232</v>
      </c>
      <c r="C303" s="5" t="s">
        <v>347</v>
      </c>
      <c r="D303" s="5">
        <v>1</v>
      </c>
      <c r="E303" s="7">
        <f>VLOOKUP(C303,Products!$A:$E,4,FALSE())</f>
        <v>18.989999999999998</v>
      </c>
      <c r="F303" s="10">
        <v>0</v>
      </c>
      <c r="G303" s="7">
        <f t="shared" si="16"/>
        <v>18.989999999999998</v>
      </c>
      <c r="H303" s="7">
        <f>VLOOKUP(C303,Products!$A:$E,5,FALSE())</f>
        <v>7.5</v>
      </c>
      <c r="I303" s="7">
        <f t="shared" si="17"/>
        <v>18.989999999999998</v>
      </c>
      <c r="J303" s="7">
        <f t="shared" si="18"/>
        <v>11.489999999999998</v>
      </c>
      <c r="K303" s="11">
        <f t="shared" si="19"/>
        <v>0.60505529225908372</v>
      </c>
      <c r="L303" s="5" t="str">
        <f>IF(VLOOKUP(B303,Orders!$A:$D,4,FALSE())="Vrátená",INDEX({"Nevyhovujúca veľkosť";"Poškodený tovar pri doprave";"Produkt nezodpovedal popisu";"Zákazník zmenil názor";"Neskoré doručenie";"Chybný/vadný kus";"Duplicitná objednávka"},MOD(CODE(LEFT(A303,1))+LEN(A303),7)+1),"")</f>
        <v/>
      </c>
    </row>
    <row r="304" spans="1:12" x14ac:dyDescent="0.3">
      <c r="A304" s="2" t="s">
        <v>651</v>
      </c>
      <c r="B304" s="2" t="s">
        <v>233</v>
      </c>
      <c r="C304" s="2" t="s">
        <v>304</v>
      </c>
      <c r="D304" s="2">
        <v>1</v>
      </c>
      <c r="E304" s="4">
        <f>VLOOKUP(C304,Products!$A:$E,4,FALSE())</f>
        <v>42.99</v>
      </c>
      <c r="F304" s="8">
        <v>0</v>
      </c>
      <c r="G304" s="4">
        <f t="shared" si="16"/>
        <v>42.99</v>
      </c>
      <c r="H304" s="4">
        <f>VLOOKUP(C304,Products!$A:$E,5,FALSE())</f>
        <v>19.5</v>
      </c>
      <c r="I304" s="4">
        <f t="shared" si="17"/>
        <v>42.99</v>
      </c>
      <c r="J304" s="4">
        <f t="shared" si="18"/>
        <v>23.490000000000002</v>
      </c>
      <c r="K304" s="9">
        <f t="shared" si="19"/>
        <v>0.54640614096301465</v>
      </c>
      <c r="L304" s="2" t="str">
        <f>IF(VLOOKUP(B304,Orders!$A:$D,4,FALSE())="Vrátená",INDEX({"Nevyhovujúca veľkosť";"Poškodený tovar pri doprave";"Produkt nezodpovedal popisu";"Zákazník zmenil názor";"Neskoré doručenie";"Chybný/vadný kus";"Duplicitná objednávka"},MOD(CODE(LEFT(A304,1))+LEN(A304),7)+1),"")</f>
        <v/>
      </c>
    </row>
    <row r="305" spans="1:12" x14ac:dyDescent="0.3">
      <c r="A305" s="5" t="s">
        <v>652</v>
      </c>
      <c r="B305" s="5" t="s">
        <v>233</v>
      </c>
      <c r="C305" s="5" t="s">
        <v>324</v>
      </c>
      <c r="D305" s="5">
        <v>5</v>
      </c>
      <c r="E305" s="7">
        <f>VLOOKUP(C305,Products!$A:$E,4,FALSE())</f>
        <v>13.99</v>
      </c>
      <c r="F305" s="10">
        <v>0</v>
      </c>
      <c r="G305" s="7">
        <f t="shared" si="16"/>
        <v>13.99</v>
      </c>
      <c r="H305" s="7">
        <f>VLOOKUP(C305,Products!$A:$E,5,FALSE())</f>
        <v>5</v>
      </c>
      <c r="I305" s="7">
        <f t="shared" si="17"/>
        <v>69.95</v>
      </c>
      <c r="J305" s="7">
        <f t="shared" si="18"/>
        <v>44.95</v>
      </c>
      <c r="K305" s="11">
        <f t="shared" si="19"/>
        <v>0.64260185847033602</v>
      </c>
      <c r="L305" s="5" t="str">
        <f>IF(VLOOKUP(B305,Orders!$A:$D,4,FALSE())="Vrátená",INDEX({"Nevyhovujúca veľkosť";"Poškodený tovar pri doprave";"Produkt nezodpovedal popisu";"Zákazník zmenil názor";"Neskoré doručenie";"Chybný/vadný kus";"Duplicitná objednávka"},MOD(CODE(LEFT(A305,1))+LEN(A305),7)+1),"")</f>
        <v/>
      </c>
    </row>
    <row r="306" spans="1:12" x14ac:dyDescent="0.3">
      <c r="A306" s="2" t="s">
        <v>653</v>
      </c>
      <c r="B306" s="2" t="s">
        <v>233</v>
      </c>
      <c r="C306" s="2" t="s">
        <v>337</v>
      </c>
      <c r="D306" s="2">
        <v>2</v>
      </c>
      <c r="E306" s="4">
        <f>VLOOKUP(C306,Products!$A:$E,4,FALSE())</f>
        <v>17.989999999999998</v>
      </c>
      <c r="F306" s="8">
        <v>0.05</v>
      </c>
      <c r="G306" s="4">
        <f t="shared" si="16"/>
        <v>17.090499999999999</v>
      </c>
      <c r="H306" s="4">
        <f>VLOOKUP(C306,Products!$A:$E,5,FALSE())</f>
        <v>7</v>
      </c>
      <c r="I306" s="4">
        <f t="shared" si="17"/>
        <v>34.180999999999997</v>
      </c>
      <c r="J306" s="4">
        <f t="shared" si="18"/>
        <v>20.180999999999997</v>
      </c>
      <c r="K306" s="9">
        <f t="shared" si="19"/>
        <v>0.59041572803604336</v>
      </c>
      <c r="L306" s="2" t="str">
        <f>IF(VLOOKUP(B306,Orders!$A:$D,4,FALSE())="Vrátená",INDEX({"Nevyhovujúca veľkosť";"Poškodený tovar pri doprave";"Produkt nezodpovedal popisu";"Zákazník zmenil názor";"Neskoré doručenie";"Chybný/vadný kus";"Duplicitná objednávka"},MOD(CODE(LEFT(A306,1))+LEN(A306),7)+1),"")</f>
        <v/>
      </c>
    </row>
    <row r="307" spans="1:12" x14ac:dyDescent="0.3">
      <c r="A307" s="5" t="s">
        <v>654</v>
      </c>
      <c r="B307" s="5" t="s">
        <v>234</v>
      </c>
      <c r="C307" s="5" t="s">
        <v>517</v>
      </c>
      <c r="D307" s="5">
        <v>5</v>
      </c>
      <c r="E307" s="7">
        <f>VLOOKUP(C307,Products!$A:$E,4,FALSE())</f>
        <v>26.49</v>
      </c>
      <c r="F307" s="10">
        <v>0</v>
      </c>
      <c r="G307" s="7">
        <f t="shared" si="16"/>
        <v>26.49</v>
      </c>
      <c r="H307" s="7">
        <f>VLOOKUP(C307,Products!$A:$E,5,FALSE())</f>
        <v>10.5</v>
      </c>
      <c r="I307" s="7">
        <f t="shared" si="17"/>
        <v>132.44999999999999</v>
      </c>
      <c r="J307" s="7">
        <f t="shared" si="18"/>
        <v>79.949999999999989</v>
      </c>
      <c r="K307" s="11">
        <f t="shared" si="19"/>
        <v>0.60362400906002267</v>
      </c>
      <c r="L307" s="5" t="str">
        <f>IF(VLOOKUP(B307,Orders!$A:$D,4,FALSE())="Vrátená",INDEX({"Nevyhovujúca veľkosť";"Poškodený tovar pri doprave";"Produkt nezodpovedal popisu";"Zákazník zmenil názor";"Neskoré doručenie";"Chybný/vadný kus";"Duplicitná objednávka"},MOD(CODE(LEFT(A307,1))+LEN(A307),7)+1),"")</f>
        <v/>
      </c>
    </row>
    <row r="308" spans="1:12" x14ac:dyDescent="0.3">
      <c r="A308" s="2" t="s">
        <v>655</v>
      </c>
      <c r="B308" s="2" t="s">
        <v>235</v>
      </c>
      <c r="C308" s="2" t="s">
        <v>357</v>
      </c>
      <c r="D308" s="2">
        <v>1</v>
      </c>
      <c r="E308" s="4">
        <f>VLOOKUP(C308,Products!$A:$E,4,FALSE())</f>
        <v>13.99</v>
      </c>
      <c r="F308" s="8">
        <v>0.05</v>
      </c>
      <c r="G308" s="4">
        <f t="shared" si="16"/>
        <v>13.2905</v>
      </c>
      <c r="H308" s="4">
        <f>VLOOKUP(C308,Products!$A:$E,5,FALSE())</f>
        <v>5.5</v>
      </c>
      <c r="I308" s="4">
        <f t="shared" si="17"/>
        <v>13.2905</v>
      </c>
      <c r="J308" s="4">
        <f t="shared" si="18"/>
        <v>7.7904999999999998</v>
      </c>
      <c r="K308" s="9">
        <f t="shared" si="19"/>
        <v>0.58617057296565211</v>
      </c>
      <c r="L308" s="2" t="str">
        <f>IF(VLOOKUP(B308,Orders!$A:$D,4,FALSE())="Vrátená",INDEX({"Nevyhovujúca veľkosť";"Poškodený tovar pri doprave";"Produkt nezodpovedal popisu";"Zákazník zmenil názor";"Neskoré doručenie";"Chybný/vadný kus";"Duplicitná objednávka"},MOD(CODE(LEFT(A308,1))+LEN(A308),7)+1),"")</f>
        <v/>
      </c>
    </row>
    <row r="309" spans="1:12" x14ac:dyDescent="0.3">
      <c r="A309" s="5" t="s">
        <v>656</v>
      </c>
      <c r="B309" s="5" t="s">
        <v>235</v>
      </c>
      <c r="C309" s="5" t="s">
        <v>435</v>
      </c>
      <c r="D309" s="5">
        <v>2</v>
      </c>
      <c r="E309" s="7">
        <f>VLOOKUP(C309,Products!$A:$E,4,FALSE())</f>
        <v>7.49</v>
      </c>
      <c r="F309" s="10">
        <v>0.1</v>
      </c>
      <c r="G309" s="7">
        <f t="shared" si="16"/>
        <v>6.7410000000000005</v>
      </c>
      <c r="H309" s="7">
        <f>VLOOKUP(C309,Products!$A:$E,5,FALSE())</f>
        <v>2.2000000000000002</v>
      </c>
      <c r="I309" s="7">
        <f t="shared" si="17"/>
        <v>13.482000000000001</v>
      </c>
      <c r="J309" s="7">
        <f t="shared" si="18"/>
        <v>9.0820000000000007</v>
      </c>
      <c r="K309" s="11">
        <f t="shared" si="19"/>
        <v>0.67363892597537456</v>
      </c>
      <c r="L309" s="5" t="str">
        <f>IF(VLOOKUP(B309,Orders!$A:$D,4,FALSE())="Vrátená",INDEX({"Nevyhovujúca veľkosť";"Poškodený tovar pri doprave";"Produkt nezodpovedal popisu";"Zákazník zmenil názor";"Neskoré doručenie";"Chybný/vadný kus";"Duplicitná objednávka"},MOD(CODE(LEFT(A309,1))+LEN(A309),7)+1),"")</f>
        <v/>
      </c>
    </row>
    <row r="310" spans="1:12" x14ac:dyDescent="0.3">
      <c r="A310" s="2" t="s">
        <v>657</v>
      </c>
      <c r="B310" s="2" t="s">
        <v>236</v>
      </c>
      <c r="C310" s="2" t="s">
        <v>332</v>
      </c>
      <c r="D310" s="2">
        <v>1</v>
      </c>
      <c r="E310" s="4">
        <f>VLOOKUP(C310,Products!$A:$E,4,FALSE())</f>
        <v>14.99</v>
      </c>
      <c r="F310" s="8">
        <v>0.05</v>
      </c>
      <c r="G310" s="4">
        <f t="shared" si="16"/>
        <v>14.240499999999999</v>
      </c>
      <c r="H310" s="4">
        <f>VLOOKUP(C310,Products!$A:$E,5,FALSE())</f>
        <v>5</v>
      </c>
      <c r="I310" s="4">
        <f t="shared" si="17"/>
        <v>14.240499999999999</v>
      </c>
      <c r="J310" s="4">
        <f t="shared" si="18"/>
        <v>9.240499999999999</v>
      </c>
      <c r="K310" s="9">
        <f t="shared" si="19"/>
        <v>0.64888873283943682</v>
      </c>
      <c r="L310" s="2" t="str">
        <f>IF(VLOOKUP(B310,Orders!$A:$D,4,FALSE())="Vrátená",INDEX({"Nevyhovujúca veľkosť";"Poškodený tovar pri doprave";"Produkt nezodpovedal popisu";"Zákazník zmenil názor";"Neskoré doručenie";"Chybný/vadný kus";"Duplicitná objednávka"},MOD(CODE(LEFT(A310,1))+LEN(A310),7)+1),"")</f>
        <v/>
      </c>
    </row>
    <row r="311" spans="1:12" x14ac:dyDescent="0.3">
      <c r="A311" s="5" t="s">
        <v>658</v>
      </c>
      <c r="B311" s="5" t="s">
        <v>236</v>
      </c>
      <c r="C311" s="5" t="s">
        <v>359</v>
      </c>
      <c r="D311" s="5">
        <v>3</v>
      </c>
      <c r="E311" s="7">
        <f>VLOOKUP(C311,Products!$A:$E,4,FALSE())</f>
        <v>16.989999999999998</v>
      </c>
      <c r="F311" s="10">
        <v>0</v>
      </c>
      <c r="G311" s="7">
        <f t="shared" si="16"/>
        <v>16.989999999999998</v>
      </c>
      <c r="H311" s="7">
        <f>VLOOKUP(C311,Products!$A:$E,5,FALSE())</f>
        <v>6</v>
      </c>
      <c r="I311" s="7">
        <f t="shared" si="17"/>
        <v>50.97</v>
      </c>
      <c r="J311" s="7">
        <f t="shared" si="18"/>
        <v>32.97</v>
      </c>
      <c r="K311" s="11">
        <f t="shared" si="19"/>
        <v>0.64685108887580933</v>
      </c>
      <c r="L311" s="5" t="str">
        <f>IF(VLOOKUP(B311,Orders!$A:$D,4,FALSE())="Vrátená",INDEX({"Nevyhovujúca veľkosť";"Poškodený tovar pri doprave";"Produkt nezodpovedal popisu";"Zákazník zmenil názor";"Neskoré doručenie";"Chybný/vadný kus";"Duplicitná objednávka"},MOD(CODE(LEFT(A311,1))+LEN(A311),7)+1),"")</f>
        <v/>
      </c>
    </row>
    <row r="312" spans="1:12" x14ac:dyDescent="0.3">
      <c r="A312" s="2" t="s">
        <v>659</v>
      </c>
      <c r="B312" s="2" t="s">
        <v>236</v>
      </c>
      <c r="C312" s="2" t="s">
        <v>364</v>
      </c>
      <c r="D312" s="2">
        <v>1</v>
      </c>
      <c r="E312" s="4">
        <f>VLOOKUP(C312,Products!$A:$E,4,FALSE())</f>
        <v>49.99</v>
      </c>
      <c r="F312" s="8">
        <v>0</v>
      </c>
      <c r="G312" s="4">
        <f t="shared" si="16"/>
        <v>49.99</v>
      </c>
      <c r="H312" s="4">
        <f>VLOOKUP(C312,Products!$A:$E,5,FALSE())</f>
        <v>22</v>
      </c>
      <c r="I312" s="4">
        <f t="shared" si="17"/>
        <v>49.99</v>
      </c>
      <c r="J312" s="4">
        <f t="shared" si="18"/>
        <v>27.990000000000002</v>
      </c>
      <c r="K312" s="9">
        <f t="shared" si="19"/>
        <v>0.55991198239647932</v>
      </c>
      <c r="L312" s="2" t="str">
        <f>IF(VLOOKUP(B312,Orders!$A:$D,4,FALSE())="Vrátená",INDEX({"Nevyhovujúca veľkosť";"Poškodený tovar pri doprave";"Produkt nezodpovedal popisu";"Zákazník zmenil názor";"Neskoré doručenie";"Chybný/vadný kus";"Duplicitná objednávka"},MOD(CODE(LEFT(A312,1))+LEN(A312),7)+1),"")</f>
        <v/>
      </c>
    </row>
    <row r="313" spans="1:12" x14ac:dyDescent="0.3">
      <c r="A313" s="5" t="s">
        <v>660</v>
      </c>
      <c r="B313" s="5" t="s">
        <v>237</v>
      </c>
      <c r="C313" s="5" t="s">
        <v>352</v>
      </c>
      <c r="D313" s="5">
        <v>4</v>
      </c>
      <c r="E313" s="7">
        <f>VLOOKUP(C313,Products!$A:$E,4,FALSE())</f>
        <v>189.99</v>
      </c>
      <c r="F313" s="10">
        <v>0.15</v>
      </c>
      <c r="G313" s="7">
        <f t="shared" si="16"/>
        <v>161.4915</v>
      </c>
      <c r="H313" s="7">
        <f>VLOOKUP(C313,Products!$A:$E,5,FALSE())</f>
        <v>110</v>
      </c>
      <c r="I313" s="7">
        <f t="shared" si="17"/>
        <v>645.96600000000001</v>
      </c>
      <c r="J313" s="7">
        <f t="shared" si="18"/>
        <v>205.96600000000001</v>
      </c>
      <c r="K313" s="11">
        <f t="shared" si="19"/>
        <v>0.3188495988952979</v>
      </c>
      <c r="L313" s="5" t="str">
        <f>IF(VLOOKUP(B313,Orders!$A:$D,4,FALSE())="Vrátená",INDEX({"Nevyhovujúca veľkosť";"Poškodený tovar pri doprave";"Produkt nezodpovedal popisu";"Zákazník zmenil názor";"Neskoré doručenie";"Chybný/vadný kus";"Duplicitná objednávka"},MOD(CODE(LEFT(A313,1))+LEN(A313),7)+1),"")</f>
        <v/>
      </c>
    </row>
    <row r="314" spans="1:12" x14ac:dyDescent="0.3">
      <c r="A314" s="2" t="s">
        <v>661</v>
      </c>
      <c r="B314" s="2" t="s">
        <v>238</v>
      </c>
      <c r="C314" s="2" t="s">
        <v>304</v>
      </c>
      <c r="D314" s="2">
        <v>4</v>
      </c>
      <c r="E314" s="4">
        <f>VLOOKUP(C314,Products!$A:$E,4,FALSE())</f>
        <v>42.99</v>
      </c>
      <c r="F314" s="8">
        <v>0</v>
      </c>
      <c r="G314" s="4">
        <f t="shared" si="16"/>
        <v>42.99</v>
      </c>
      <c r="H314" s="4">
        <f>VLOOKUP(C314,Products!$A:$E,5,FALSE())</f>
        <v>19.5</v>
      </c>
      <c r="I314" s="4">
        <f t="shared" si="17"/>
        <v>171.96</v>
      </c>
      <c r="J314" s="4">
        <f t="shared" si="18"/>
        <v>93.960000000000008</v>
      </c>
      <c r="K314" s="9">
        <f t="shared" si="19"/>
        <v>0.54640614096301465</v>
      </c>
      <c r="L314" s="2" t="str">
        <f>IF(VLOOKUP(B314,Orders!$A:$D,4,FALSE())="Vrátená",INDEX({"Nevyhovujúca veľkosť";"Poškodený tovar pri doprave";"Produkt nezodpovedal popisu";"Zákazník zmenil názor";"Neskoré doručenie";"Chybný/vadný kus";"Duplicitná objednávka"},MOD(CODE(LEFT(A314,1))+LEN(A314),7)+1),"")</f>
        <v/>
      </c>
    </row>
    <row r="315" spans="1:12" x14ac:dyDescent="0.3">
      <c r="A315" s="5" t="s">
        <v>662</v>
      </c>
      <c r="B315" s="5" t="s">
        <v>238</v>
      </c>
      <c r="C315" s="5" t="s">
        <v>442</v>
      </c>
      <c r="D315" s="5">
        <v>1</v>
      </c>
      <c r="E315" s="7">
        <f>VLOOKUP(C315,Products!$A:$E,4,FALSE())</f>
        <v>8.99</v>
      </c>
      <c r="F315" s="10">
        <v>0</v>
      </c>
      <c r="G315" s="7">
        <f t="shared" si="16"/>
        <v>8.99</v>
      </c>
      <c r="H315" s="7">
        <f>VLOOKUP(C315,Products!$A:$E,5,FALSE())</f>
        <v>3</v>
      </c>
      <c r="I315" s="7">
        <f t="shared" si="17"/>
        <v>8.99</v>
      </c>
      <c r="J315" s="7">
        <f t="shared" si="18"/>
        <v>5.99</v>
      </c>
      <c r="K315" s="11">
        <f t="shared" si="19"/>
        <v>0.66629588431590658</v>
      </c>
      <c r="L315" s="5" t="str">
        <f>IF(VLOOKUP(B315,Orders!$A:$D,4,FALSE())="Vrátená",INDEX({"Nevyhovujúca veľkosť";"Poškodený tovar pri doprave";"Produkt nezodpovedal popisu";"Zákazník zmenil názor";"Neskoré doručenie";"Chybný/vadný kus";"Duplicitná objednávka"},MOD(CODE(LEFT(A315,1))+LEN(A315),7)+1),"")</f>
        <v/>
      </c>
    </row>
    <row r="316" spans="1:12" x14ac:dyDescent="0.3">
      <c r="A316" s="2" t="s">
        <v>663</v>
      </c>
      <c r="B316" s="2" t="s">
        <v>238</v>
      </c>
      <c r="C316" s="2" t="s">
        <v>382</v>
      </c>
      <c r="D316" s="2">
        <v>4</v>
      </c>
      <c r="E316" s="4">
        <f>VLOOKUP(C316,Products!$A:$E,4,FALSE())</f>
        <v>6.99</v>
      </c>
      <c r="F316" s="8">
        <v>0.15</v>
      </c>
      <c r="G316" s="4">
        <f t="shared" si="16"/>
        <v>5.9415000000000004</v>
      </c>
      <c r="H316" s="4">
        <f>VLOOKUP(C316,Products!$A:$E,5,FALSE())</f>
        <v>2</v>
      </c>
      <c r="I316" s="4">
        <f t="shared" si="17"/>
        <v>23.766000000000002</v>
      </c>
      <c r="J316" s="4">
        <f t="shared" si="18"/>
        <v>15.766000000000002</v>
      </c>
      <c r="K316" s="9">
        <f t="shared" si="19"/>
        <v>0.66338466717158973</v>
      </c>
      <c r="L316" s="2" t="str">
        <f>IF(VLOOKUP(B316,Orders!$A:$D,4,FALSE())="Vrátená",INDEX({"Nevyhovujúca veľkosť";"Poškodený tovar pri doprave";"Produkt nezodpovedal popisu";"Zákazník zmenil názor";"Neskoré doručenie";"Chybný/vadný kus";"Duplicitná objednávka"},MOD(CODE(LEFT(A316,1))+LEN(A316),7)+1),"")</f>
        <v/>
      </c>
    </row>
    <row r="317" spans="1:12" x14ac:dyDescent="0.3">
      <c r="A317" s="5" t="s">
        <v>664</v>
      </c>
      <c r="B317" s="5" t="s">
        <v>239</v>
      </c>
      <c r="C317" s="5" t="s">
        <v>314</v>
      </c>
      <c r="D317" s="5">
        <v>2</v>
      </c>
      <c r="E317" s="7">
        <f>VLOOKUP(C317,Products!$A:$E,4,FALSE())</f>
        <v>54.99</v>
      </c>
      <c r="F317" s="10">
        <v>0</v>
      </c>
      <c r="G317" s="7">
        <f t="shared" si="16"/>
        <v>54.99</v>
      </c>
      <c r="H317" s="7">
        <f>VLOOKUP(C317,Products!$A:$E,5,FALSE())</f>
        <v>26</v>
      </c>
      <c r="I317" s="7">
        <f t="shared" si="17"/>
        <v>109.98</v>
      </c>
      <c r="J317" s="7">
        <f t="shared" si="18"/>
        <v>57.980000000000004</v>
      </c>
      <c r="K317" s="11">
        <f t="shared" si="19"/>
        <v>0.5271867612293144</v>
      </c>
      <c r="L317" s="5" t="str">
        <f>IF(VLOOKUP(B317,Orders!$A:$D,4,FALSE())="Vrátená",INDEX({"Nevyhovujúca veľkosť";"Poškodený tovar pri doprave";"Produkt nezodpovedal popisu";"Zákazník zmenil názor";"Neskoré doručenie";"Chybný/vadný kus";"Duplicitná objednávka"},MOD(CODE(LEFT(A317,1))+LEN(A317),7)+1),"")</f>
        <v/>
      </c>
    </row>
    <row r="318" spans="1:12" x14ac:dyDescent="0.3">
      <c r="A318" s="2" t="s">
        <v>665</v>
      </c>
      <c r="B318" s="2" t="s">
        <v>240</v>
      </c>
      <c r="C318" s="2" t="s">
        <v>352</v>
      </c>
      <c r="D318" s="2">
        <v>4</v>
      </c>
      <c r="E318" s="4">
        <f>VLOOKUP(C318,Products!$A:$E,4,FALSE())</f>
        <v>189.99</v>
      </c>
      <c r="F318" s="8">
        <v>0</v>
      </c>
      <c r="G318" s="4">
        <f t="shared" si="16"/>
        <v>189.99</v>
      </c>
      <c r="H318" s="4">
        <f>VLOOKUP(C318,Products!$A:$E,5,FALSE())</f>
        <v>110</v>
      </c>
      <c r="I318" s="4">
        <f t="shared" si="17"/>
        <v>759.96</v>
      </c>
      <c r="J318" s="4">
        <f t="shared" si="18"/>
        <v>319.96000000000004</v>
      </c>
      <c r="K318" s="9">
        <f t="shared" si="19"/>
        <v>0.42102215906100326</v>
      </c>
      <c r="L318" s="2" t="str">
        <f>IF(VLOOKUP(B318,Orders!$A:$D,4,FALSE())="Vrátená",INDEX({"Nevyhovujúca veľkosť";"Poškodený tovar pri doprave";"Produkt nezodpovedal popisu";"Zákazník zmenil názor";"Neskoré doručenie";"Chybný/vadný kus";"Duplicitná objednávka"},MOD(CODE(LEFT(A318,1))+LEN(A318),7)+1),"")</f>
        <v/>
      </c>
    </row>
    <row r="319" spans="1:12" x14ac:dyDescent="0.3">
      <c r="A319" s="5" t="s">
        <v>666</v>
      </c>
      <c r="B319" s="5" t="s">
        <v>240</v>
      </c>
      <c r="C319" s="5" t="s">
        <v>464</v>
      </c>
      <c r="D319" s="5">
        <v>1</v>
      </c>
      <c r="E319" s="7">
        <f>VLOOKUP(C319,Products!$A:$E,4,FALSE())</f>
        <v>14.99</v>
      </c>
      <c r="F319" s="10">
        <v>0</v>
      </c>
      <c r="G319" s="7">
        <f t="shared" si="16"/>
        <v>14.99</v>
      </c>
      <c r="H319" s="7">
        <f>VLOOKUP(C319,Products!$A:$E,5,FALSE())</f>
        <v>5.5</v>
      </c>
      <c r="I319" s="7">
        <f t="shared" si="17"/>
        <v>14.99</v>
      </c>
      <c r="J319" s="7">
        <f t="shared" si="18"/>
        <v>9.49</v>
      </c>
      <c r="K319" s="11">
        <f t="shared" si="19"/>
        <v>0.63308872581721143</v>
      </c>
      <c r="L319" s="5" t="str">
        <f>IF(VLOOKUP(B319,Orders!$A:$D,4,FALSE())="Vrátená",INDEX({"Nevyhovujúca veľkosť";"Poškodený tovar pri doprave";"Produkt nezodpovedal popisu";"Zákazník zmenil názor";"Neskoré doručenie";"Chybný/vadný kus";"Duplicitná objednávka"},MOD(CODE(LEFT(A319,1))+LEN(A319),7)+1),"")</f>
        <v/>
      </c>
    </row>
    <row r="320" spans="1:12" x14ac:dyDescent="0.3">
      <c r="A320" s="2" t="s">
        <v>667</v>
      </c>
      <c r="B320" s="2" t="s">
        <v>241</v>
      </c>
      <c r="C320" s="2" t="s">
        <v>361</v>
      </c>
      <c r="D320" s="2">
        <v>1</v>
      </c>
      <c r="E320" s="4">
        <f>VLOOKUP(C320,Products!$A:$E,4,FALSE())</f>
        <v>27.49</v>
      </c>
      <c r="F320" s="8">
        <v>0.2</v>
      </c>
      <c r="G320" s="4">
        <f t="shared" si="16"/>
        <v>21.992000000000001</v>
      </c>
      <c r="H320" s="4">
        <f>VLOOKUP(C320,Products!$A:$E,5,FALSE())</f>
        <v>11</v>
      </c>
      <c r="I320" s="4">
        <f t="shared" si="17"/>
        <v>21.992000000000001</v>
      </c>
      <c r="J320" s="4">
        <f t="shared" si="18"/>
        <v>10.992000000000001</v>
      </c>
      <c r="K320" s="9">
        <f t="shared" si="19"/>
        <v>0.49981811567842854</v>
      </c>
      <c r="L320" s="2" t="str">
        <f>IF(VLOOKUP(B320,Orders!$A:$D,4,FALSE())="Vrátená",INDEX({"Nevyhovujúca veľkosť";"Poškodený tovar pri doprave";"Produkt nezodpovedal popisu";"Zákazník zmenil názor";"Neskoré doručenie";"Chybný/vadný kus";"Duplicitná objednávka"},MOD(CODE(LEFT(A320,1))+LEN(A320),7)+1),"")</f>
        <v/>
      </c>
    </row>
    <row r="321" spans="1:12" x14ac:dyDescent="0.3">
      <c r="A321" s="5" t="s">
        <v>668</v>
      </c>
      <c r="B321" s="5" t="s">
        <v>242</v>
      </c>
      <c r="C321" s="5" t="s">
        <v>470</v>
      </c>
      <c r="D321" s="5">
        <v>1</v>
      </c>
      <c r="E321" s="7">
        <f>VLOOKUP(C321,Products!$A:$E,4,FALSE())</f>
        <v>44.99</v>
      </c>
      <c r="F321" s="10">
        <v>0</v>
      </c>
      <c r="G321" s="7">
        <f t="shared" si="16"/>
        <v>44.99</v>
      </c>
      <c r="H321" s="7">
        <f>VLOOKUP(C321,Products!$A:$E,5,FALSE())</f>
        <v>18</v>
      </c>
      <c r="I321" s="7">
        <f t="shared" si="17"/>
        <v>44.99</v>
      </c>
      <c r="J321" s="7">
        <f t="shared" si="18"/>
        <v>26.990000000000002</v>
      </c>
      <c r="K321" s="11">
        <f t="shared" si="19"/>
        <v>0.59991109135363418</v>
      </c>
      <c r="L321" s="5" t="str">
        <f>IF(VLOOKUP(B321,Orders!$A:$D,4,FALSE())="Vrátená",INDEX({"Nevyhovujúca veľkosť";"Poškodený tovar pri doprave";"Produkt nezodpovedal popisu";"Zákazník zmenil názor";"Neskoré doručenie";"Chybný/vadný kus";"Duplicitná objednávka"},MOD(CODE(LEFT(A321,1))+LEN(A321),7)+1),"")</f>
        <v/>
      </c>
    </row>
    <row r="322" spans="1:12" x14ac:dyDescent="0.3">
      <c r="A322" s="2" t="s">
        <v>669</v>
      </c>
      <c r="B322" s="2" t="s">
        <v>242</v>
      </c>
      <c r="C322" s="2" t="s">
        <v>328</v>
      </c>
      <c r="D322" s="2">
        <v>1</v>
      </c>
      <c r="E322" s="4">
        <f>VLOOKUP(C322,Products!$A:$E,4,FALSE())</f>
        <v>7.49</v>
      </c>
      <c r="F322" s="8">
        <v>0</v>
      </c>
      <c r="G322" s="4">
        <f t="shared" ref="G322:G385" si="20">E322*(1-F322)</f>
        <v>7.49</v>
      </c>
      <c r="H322" s="4">
        <f>VLOOKUP(C322,Products!$A:$E,5,FALSE())</f>
        <v>2</v>
      </c>
      <c r="I322" s="4">
        <f t="shared" ref="I322:I385" si="21">D322*G322</f>
        <v>7.49</v>
      </c>
      <c r="J322" s="4">
        <f t="shared" ref="J322:J385" si="22">I322-(D322*H322)</f>
        <v>5.49</v>
      </c>
      <c r="K322" s="9">
        <f t="shared" ref="K322:K385" si="23">IFERROR(J322/I322,0)</f>
        <v>0.73297730307076103</v>
      </c>
      <c r="L322" s="2" t="str">
        <f>IF(VLOOKUP(B322,Orders!$A:$D,4,FALSE())="Vrátená",INDEX({"Nevyhovujúca veľkosť";"Poškodený tovar pri doprave";"Produkt nezodpovedal popisu";"Zákazník zmenil názor";"Neskoré doručenie";"Chybný/vadný kus";"Duplicitná objednávka"},MOD(CODE(LEFT(A322,1))+LEN(A322),7)+1),"")</f>
        <v/>
      </c>
    </row>
    <row r="323" spans="1:12" x14ac:dyDescent="0.3">
      <c r="A323" s="5" t="s">
        <v>670</v>
      </c>
      <c r="B323" s="5" t="s">
        <v>242</v>
      </c>
      <c r="C323" s="5" t="s">
        <v>302</v>
      </c>
      <c r="D323" s="5">
        <v>1</v>
      </c>
      <c r="E323" s="7">
        <f>VLOOKUP(C323,Products!$A:$E,4,FALSE())</f>
        <v>54.99</v>
      </c>
      <c r="F323" s="10">
        <v>0.3</v>
      </c>
      <c r="G323" s="7">
        <f t="shared" si="20"/>
        <v>38.493000000000002</v>
      </c>
      <c r="H323" s="7">
        <f>VLOOKUP(C323,Products!$A:$E,5,FALSE())</f>
        <v>22</v>
      </c>
      <c r="I323" s="7">
        <f t="shared" si="21"/>
        <v>38.493000000000002</v>
      </c>
      <c r="J323" s="7">
        <f t="shared" si="22"/>
        <v>16.493000000000002</v>
      </c>
      <c r="K323" s="11">
        <f t="shared" si="23"/>
        <v>0.42846751357389656</v>
      </c>
      <c r="L323" s="5" t="str">
        <f>IF(VLOOKUP(B323,Orders!$A:$D,4,FALSE())="Vrátená",INDEX({"Nevyhovujúca veľkosť";"Poškodený tovar pri doprave";"Produkt nezodpovedal popisu";"Zákazník zmenil názor";"Neskoré doručenie";"Chybný/vadný kus";"Duplicitná objednávka"},MOD(CODE(LEFT(A323,1))+LEN(A323),7)+1),"")</f>
        <v/>
      </c>
    </row>
    <row r="324" spans="1:12" x14ac:dyDescent="0.3">
      <c r="A324" s="2" t="s">
        <v>671</v>
      </c>
      <c r="B324" s="2" t="s">
        <v>243</v>
      </c>
      <c r="C324" s="2" t="s">
        <v>310</v>
      </c>
      <c r="D324" s="2">
        <v>1</v>
      </c>
      <c r="E324" s="4">
        <f>VLOOKUP(C324,Products!$A:$E,4,FALSE())</f>
        <v>34.99</v>
      </c>
      <c r="F324" s="8">
        <v>0.1</v>
      </c>
      <c r="G324" s="4">
        <f t="shared" si="20"/>
        <v>31.491000000000003</v>
      </c>
      <c r="H324" s="4">
        <f>VLOOKUP(C324,Products!$A:$E,5,FALSE())</f>
        <v>14</v>
      </c>
      <c r="I324" s="4">
        <f t="shared" si="21"/>
        <v>31.491000000000003</v>
      </c>
      <c r="J324" s="4">
        <f t="shared" si="22"/>
        <v>17.491000000000003</v>
      </c>
      <c r="K324" s="9">
        <f t="shared" si="23"/>
        <v>0.55542853513702328</v>
      </c>
      <c r="L324" s="2" t="str">
        <f>IF(VLOOKUP(B324,Orders!$A:$D,4,FALSE())="Vrátená",INDEX({"Nevyhovujúca veľkosť";"Poškodený tovar pri doprave";"Produkt nezodpovedal popisu";"Zákazník zmenil názor";"Neskoré doručenie";"Chybný/vadný kus";"Duplicitná objednávka"},MOD(CODE(LEFT(A324,1))+LEN(A324),7)+1),"")</f>
        <v/>
      </c>
    </row>
    <row r="325" spans="1:12" x14ac:dyDescent="0.3">
      <c r="A325" s="5" t="s">
        <v>672</v>
      </c>
      <c r="B325" s="5" t="s">
        <v>244</v>
      </c>
      <c r="C325" s="5" t="s">
        <v>386</v>
      </c>
      <c r="D325" s="5">
        <v>1</v>
      </c>
      <c r="E325" s="7">
        <f>VLOOKUP(C325,Products!$A:$E,4,FALSE())</f>
        <v>64.989999999999995</v>
      </c>
      <c r="F325" s="10">
        <v>0.1</v>
      </c>
      <c r="G325" s="7">
        <f t="shared" si="20"/>
        <v>58.491</v>
      </c>
      <c r="H325" s="7">
        <f>VLOOKUP(C325,Products!$A:$E,5,FALSE())</f>
        <v>28</v>
      </c>
      <c r="I325" s="7">
        <f t="shared" si="21"/>
        <v>58.491</v>
      </c>
      <c r="J325" s="7">
        <f t="shared" si="22"/>
        <v>30.491</v>
      </c>
      <c r="K325" s="11">
        <f t="shared" si="23"/>
        <v>0.5212938742712554</v>
      </c>
      <c r="L325" s="5" t="str">
        <f>IF(VLOOKUP(B325,Orders!$A:$D,4,FALSE())="Vrátená",INDEX({"Nevyhovujúca veľkosť";"Poškodený tovar pri doprave";"Produkt nezodpovedal popisu";"Zákazník zmenil názor";"Neskoré doručenie";"Chybný/vadný kus";"Duplicitná objednávka"},MOD(CODE(LEFT(A325,1))+LEN(A325),7)+1),"")</f>
        <v/>
      </c>
    </row>
    <row r="326" spans="1:12" x14ac:dyDescent="0.3">
      <c r="A326" s="2" t="s">
        <v>673</v>
      </c>
      <c r="B326" s="2" t="s">
        <v>244</v>
      </c>
      <c r="C326" s="2" t="s">
        <v>334</v>
      </c>
      <c r="D326" s="2">
        <v>4</v>
      </c>
      <c r="E326" s="4">
        <f>VLOOKUP(C326,Products!$A:$E,4,FALSE())</f>
        <v>21.49</v>
      </c>
      <c r="F326" s="8">
        <v>0</v>
      </c>
      <c r="G326" s="4">
        <f t="shared" si="20"/>
        <v>21.49</v>
      </c>
      <c r="H326" s="4">
        <f>VLOOKUP(C326,Products!$A:$E,5,FALSE())</f>
        <v>8</v>
      </c>
      <c r="I326" s="4">
        <f t="shared" si="21"/>
        <v>85.96</v>
      </c>
      <c r="J326" s="4">
        <f t="shared" si="22"/>
        <v>53.959999999999994</v>
      </c>
      <c r="K326" s="9">
        <f t="shared" si="23"/>
        <v>0.62773382968822711</v>
      </c>
      <c r="L326" s="2" t="str">
        <f>IF(VLOOKUP(B326,Orders!$A:$D,4,FALSE())="Vrátená",INDEX({"Nevyhovujúca veľkosť";"Poškodený tovar pri doprave";"Produkt nezodpovedal popisu";"Zákazník zmenil názor";"Neskoré doručenie";"Chybný/vadný kus";"Duplicitná objednávka"},MOD(CODE(LEFT(A326,1))+LEN(A326),7)+1),"")</f>
        <v/>
      </c>
    </row>
    <row r="327" spans="1:12" x14ac:dyDescent="0.3">
      <c r="A327" s="5" t="s">
        <v>674</v>
      </c>
      <c r="B327" s="5" t="s">
        <v>244</v>
      </c>
      <c r="C327" s="5" t="s">
        <v>306</v>
      </c>
      <c r="D327" s="5">
        <v>1</v>
      </c>
      <c r="E327" s="7">
        <f>VLOOKUP(C327,Products!$A:$E,4,FALSE())</f>
        <v>34.99</v>
      </c>
      <c r="F327" s="10">
        <v>0</v>
      </c>
      <c r="G327" s="7">
        <f t="shared" si="20"/>
        <v>34.99</v>
      </c>
      <c r="H327" s="7">
        <f>VLOOKUP(C327,Products!$A:$E,5,FALSE())</f>
        <v>15</v>
      </c>
      <c r="I327" s="7">
        <f t="shared" si="21"/>
        <v>34.99</v>
      </c>
      <c r="J327" s="7">
        <f t="shared" si="22"/>
        <v>19.990000000000002</v>
      </c>
      <c r="K327" s="11">
        <f t="shared" si="23"/>
        <v>0.57130608745355815</v>
      </c>
      <c r="L327" s="5" t="str">
        <f>IF(VLOOKUP(B327,Orders!$A:$D,4,FALSE())="Vrátená",INDEX({"Nevyhovujúca veľkosť";"Poškodený tovar pri doprave";"Produkt nezodpovedal popisu";"Zákazník zmenil názor";"Neskoré doručenie";"Chybný/vadný kus";"Duplicitná objednávka"},MOD(CODE(LEFT(A327,1))+LEN(A327),7)+1),"")</f>
        <v/>
      </c>
    </row>
    <row r="328" spans="1:12" x14ac:dyDescent="0.3">
      <c r="A328" s="2" t="s">
        <v>675</v>
      </c>
      <c r="B328" s="2" t="s">
        <v>245</v>
      </c>
      <c r="C328" s="2" t="s">
        <v>347</v>
      </c>
      <c r="D328" s="2">
        <v>2</v>
      </c>
      <c r="E328" s="4">
        <f>VLOOKUP(C328,Products!$A:$E,4,FALSE())</f>
        <v>18.989999999999998</v>
      </c>
      <c r="F328" s="8">
        <v>0</v>
      </c>
      <c r="G328" s="4">
        <f t="shared" si="20"/>
        <v>18.989999999999998</v>
      </c>
      <c r="H328" s="4">
        <f>VLOOKUP(C328,Products!$A:$E,5,FALSE())</f>
        <v>7.5</v>
      </c>
      <c r="I328" s="4">
        <f t="shared" si="21"/>
        <v>37.979999999999997</v>
      </c>
      <c r="J328" s="4">
        <f t="shared" si="22"/>
        <v>22.979999999999997</v>
      </c>
      <c r="K328" s="9">
        <f t="shared" si="23"/>
        <v>0.60505529225908372</v>
      </c>
      <c r="L328" s="2" t="str">
        <f>IF(VLOOKUP(B328,Orders!$A:$D,4,FALSE())="Vrátená",INDEX({"Nevyhovujúca veľkosť";"Poškodený tovar pri doprave";"Produkt nezodpovedal popisu";"Zákazník zmenil názor";"Neskoré doručenie";"Chybný/vadný kus";"Duplicitná objednávka"},MOD(CODE(LEFT(A328,1))+LEN(A328),7)+1),"")</f>
        <v/>
      </c>
    </row>
    <row r="329" spans="1:12" x14ac:dyDescent="0.3">
      <c r="A329" s="5" t="s">
        <v>676</v>
      </c>
      <c r="B329" s="5" t="s">
        <v>247</v>
      </c>
      <c r="C329" s="5" t="s">
        <v>324</v>
      </c>
      <c r="D329" s="5">
        <v>2</v>
      </c>
      <c r="E329" s="7">
        <f>VLOOKUP(C329,Products!$A:$E,4,FALSE())</f>
        <v>13.99</v>
      </c>
      <c r="F329" s="10">
        <v>0.1</v>
      </c>
      <c r="G329" s="7">
        <f t="shared" si="20"/>
        <v>12.591000000000001</v>
      </c>
      <c r="H329" s="7">
        <f>VLOOKUP(C329,Products!$A:$E,5,FALSE())</f>
        <v>5</v>
      </c>
      <c r="I329" s="7">
        <f t="shared" si="21"/>
        <v>25.182000000000002</v>
      </c>
      <c r="J329" s="7">
        <f t="shared" si="22"/>
        <v>15.182000000000002</v>
      </c>
      <c r="K329" s="11">
        <f t="shared" si="23"/>
        <v>0.60289095385592884</v>
      </c>
      <c r="L329" s="5" t="str">
        <f>IF(VLOOKUP(B329,Orders!$A:$D,4,FALSE())="Vrátená",INDEX({"Nevyhovujúca veľkosť";"Poškodený tovar pri doprave";"Produkt nezodpovedal popisu";"Zákazník zmenil názor";"Neskoré doručenie";"Chybný/vadný kus";"Duplicitná objednávka"},MOD(CODE(LEFT(A329,1))+LEN(A329),7)+1),"")</f>
        <v/>
      </c>
    </row>
    <row r="330" spans="1:12" x14ac:dyDescent="0.3">
      <c r="A330" s="2" t="s">
        <v>677</v>
      </c>
      <c r="B330" s="2" t="s">
        <v>248</v>
      </c>
      <c r="C330" s="2" t="s">
        <v>332</v>
      </c>
      <c r="D330" s="2">
        <v>1</v>
      </c>
      <c r="E330" s="4">
        <f>VLOOKUP(C330,Products!$A:$E,4,FALSE())</f>
        <v>14.99</v>
      </c>
      <c r="F330" s="8">
        <v>0</v>
      </c>
      <c r="G330" s="4">
        <f t="shared" si="20"/>
        <v>14.99</v>
      </c>
      <c r="H330" s="4">
        <f>VLOOKUP(C330,Products!$A:$E,5,FALSE())</f>
        <v>5</v>
      </c>
      <c r="I330" s="4">
        <f t="shared" si="21"/>
        <v>14.99</v>
      </c>
      <c r="J330" s="4">
        <f t="shared" si="22"/>
        <v>9.99</v>
      </c>
      <c r="K330" s="9">
        <f t="shared" si="23"/>
        <v>0.66644429619746504</v>
      </c>
      <c r="L330" s="2" t="str">
        <f>IF(VLOOKUP(B330,Orders!$A:$D,4,FALSE())="Vrátená",INDEX({"Nevyhovujúca veľkosť";"Poškodený tovar pri doprave";"Produkt nezodpovedal popisu";"Zákazník zmenil názor";"Neskoré doručenie";"Chybný/vadný kus";"Duplicitná objednávka"},MOD(CODE(LEFT(A330,1))+LEN(A330),7)+1),"")</f>
        <v/>
      </c>
    </row>
    <row r="331" spans="1:12" x14ac:dyDescent="0.3">
      <c r="A331" s="5" t="s">
        <v>678</v>
      </c>
      <c r="B331" s="5" t="s">
        <v>248</v>
      </c>
      <c r="C331" s="5" t="s">
        <v>349</v>
      </c>
      <c r="D331" s="5">
        <v>2</v>
      </c>
      <c r="E331" s="7">
        <f>VLOOKUP(C331,Products!$A:$E,4,FALSE())</f>
        <v>24.99</v>
      </c>
      <c r="F331" s="10">
        <v>0.05</v>
      </c>
      <c r="G331" s="7">
        <f t="shared" si="20"/>
        <v>23.740499999999997</v>
      </c>
      <c r="H331" s="7">
        <f>VLOOKUP(C331,Products!$A:$E,5,FALSE())</f>
        <v>10.5</v>
      </c>
      <c r="I331" s="7">
        <f t="shared" si="21"/>
        <v>47.480999999999995</v>
      </c>
      <c r="J331" s="7">
        <f t="shared" si="22"/>
        <v>26.480999999999995</v>
      </c>
      <c r="K331" s="11">
        <f t="shared" si="23"/>
        <v>0.55771782397169389</v>
      </c>
      <c r="L331" s="5" t="str">
        <f>IF(VLOOKUP(B331,Orders!$A:$D,4,FALSE())="Vrátená",INDEX({"Nevyhovujúca veľkosť";"Poškodený tovar pri doprave";"Produkt nezodpovedal popisu";"Zákazník zmenil názor";"Neskoré doručenie";"Chybný/vadný kus";"Duplicitná objednávka"},MOD(CODE(LEFT(A331,1))+LEN(A331),7)+1),"")</f>
        <v/>
      </c>
    </row>
    <row r="332" spans="1:12" x14ac:dyDescent="0.3">
      <c r="A332" s="2" t="s">
        <v>679</v>
      </c>
      <c r="B332" s="2" t="s">
        <v>249</v>
      </c>
      <c r="C332" s="2" t="s">
        <v>318</v>
      </c>
      <c r="D332" s="2">
        <v>1</v>
      </c>
      <c r="E332" s="4">
        <f>VLOOKUP(C332,Products!$A:$E,4,FALSE())</f>
        <v>29.99</v>
      </c>
      <c r="F332" s="8">
        <v>0.1</v>
      </c>
      <c r="G332" s="4">
        <f t="shared" si="20"/>
        <v>26.991</v>
      </c>
      <c r="H332" s="4">
        <f>VLOOKUP(C332,Products!$A:$E,5,FALSE())</f>
        <v>13</v>
      </c>
      <c r="I332" s="4">
        <f t="shared" si="21"/>
        <v>26.991</v>
      </c>
      <c r="J332" s="4">
        <f t="shared" si="22"/>
        <v>13.991</v>
      </c>
      <c r="K332" s="9">
        <f t="shared" si="23"/>
        <v>0.51835797117557703</v>
      </c>
      <c r="L332" s="2" t="str">
        <f>IF(VLOOKUP(B332,Orders!$A:$D,4,FALSE())="Vrátená",INDEX({"Nevyhovujúca veľkosť";"Poškodený tovar pri doprave";"Produkt nezodpovedal popisu";"Zákazník zmenil názor";"Neskoré doručenie";"Chybný/vadný kus";"Duplicitná objednávka"},MOD(CODE(LEFT(A332,1))+LEN(A332),7)+1),"")</f>
        <v/>
      </c>
    </row>
    <row r="333" spans="1:12" x14ac:dyDescent="0.3">
      <c r="A333" s="5" t="s">
        <v>680</v>
      </c>
      <c r="B333" s="5" t="s">
        <v>249</v>
      </c>
      <c r="C333" s="5" t="s">
        <v>322</v>
      </c>
      <c r="D333" s="5">
        <v>1</v>
      </c>
      <c r="E333" s="7">
        <f>VLOOKUP(C333,Products!$A:$E,4,FALSE())</f>
        <v>104.99</v>
      </c>
      <c r="F333" s="10">
        <v>0.1</v>
      </c>
      <c r="G333" s="7">
        <f t="shared" si="20"/>
        <v>94.491</v>
      </c>
      <c r="H333" s="7">
        <f>VLOOKUP(C333,Products!$A:$E,5,FALSE())</f>
        <v>55</v>
      </c>
      <c r="I333" s="7">
        <f t="shared" si="21"/>
        <v>94.491</v>
      </c>
      <c r="J333" s="7">
        <f t="shared" si="22"/>
        <v>39.491</v>
      </c>
      <c r="K333" s="11">
        <f t="shared" si="23"/>
        <v>0.41793398313066854</v>
      </c>
      <c r="L333" s="5" t="str">
        <f>IF(VLOOKUP(B333,Orders!$A:$D,4,FALSE())="Vrátená",INDEX({"Nevyhovujúca veľkosť";"Poškodený tovar pri doprave";"Produkt nezodpovedal popisu";"Zákazník zmenil názor";"Neskoré doručenie";"Chybný/vadný kus";"Duplicitná objednávka"},MOD(CODE(LEFT(A333,1))+LEN(A333),7)+1),"")</f>
        <v/>
      </c>
    </row>
    <row r="334" spans="1:12" x14ac:dyDescent="0.3">
      <c r="A334" s="2" t="s">
        <v>681</v>
      </c>
      <c r="B334" s="2" t="s">
        <v>249</v>
      </c>
      <c r="C334" s="2" t="s">
        <v>461</v>
      </c>
      <c r="D334" s="2">
        <v>1</v>
      </c>
      <c r="E334" s="4">
        <f>VLOOKUP(C334,Products!$A:$E,4,FALSE())</f>
        <v>64.989999999999995</v>
      </c>
      <c r="F334" s="8">
        <v>0.05</v>
      </c>
      <c r="G334" s="4">
        <f t="shared" si="20"/>
        <v>61.74049999999999</v>
      </c>
      <c r="H334" s="4">
        <f>VLOOKUP(C334,Products!$A:$E,5,FALSE())</f>
        <v>32</v>
      </c>
      <c r="I334" s="4">
        <f t="shared" si="21"/>
        <v>61.74049999999999</v>
      </c>
      <c r="J334" s="4">
        <f t="shared" si="22"/>
        <v>29.74049999999999</v>
      </c>
      <c r="K334" s="9">
        <f t="shared" si="23"/>
        <v>0.48170163830872759</v>
      </c>
      <c r="L334" s="2" t="str">
        <f>IF(VLOOKUP(B334,Orders!$A:$D,4,FALSE())="Vrátená",INDEX({"Nevyhovujúca veľkosť";"Poškodený tovar pri doprave";"Produkt nezodpovedal popisu";"Zákazník zmenil názor";"Neskoré doručenie";"Chybný/vadný kus";"Duplicitná objednávka"},MOD(CODE(LEFT(A334,1))+LEN(A334),7)+1),"")</f>
        <v/>
      </c>
    </row>
    <row r="335" spans="1:12" x14ac:dyDescent="0.3">
      <c r="A335" s="5" t="s">
        <v>682</v>
      </c>
      <c r="B335" s="5" t="s">
        <v>251</v>
      </c>
      <c r="C335" s="5" t="s">
        <v>461</v>
      </c>
      <c r="D335" s="5">
        <v>2</v>
      </c>
      <c r="E335" s="7">
        <f>VLOOKUP(C335,Products!$A:$E,4,FALSE())</f>
        <v>64.989999999999995</v>
      </c>
      <c r="F335" s="10">
        <v>0</v>
      </c>
      <c r="G335" s="7">
        <f t="shared" si="20"/>
        <v>64.989999999999995</v>
      </c>
      <c r="H335" s="7">
        <f>VLOOKUP(C335,Products!$A:$E,5,FALSE())</f>
        <v>32</v>
      </c>
      <c r="I335" s="7">
        <f t="shared" si="21"/>
        <v>129.97999999999999</v>
      </c>
      <c r="J335" s="7">
        <f t="shared" si="22"/>
        <v>65.97999999999999</v>
      </c>
      <c r="K335" s="11">
        <f t="shared" si="23"/>
        <v>0.50761655639329128</v>
      </c>
      <c r="L335" s="5" t="str">
        <f>IF(VLOOKUP(B335,Orders!$A:$D,4,FALSE())="Vrátená",INDEX({"Nevyhovujúca veľkosť";"Poškodený tovar pri doprave";"Produkt nezodpovedal popisu";"Zákazník zmenil názor";"Neskoré doručenie";"Chybný/vadný kus";"Duplicitná objednávka"},MOD(CODE(LEFT(A335,1))+LEN(A335),7)+1),"")</f>
        <v/>
      </c>
    </row>
    <row r="336" spans="1:12" x14ac:dyDescent="0.3">
      <c r="A336" s="2" t="s">
        <v>683</v>
      </c>
      <c r="B336" s="2" t="s">
        <v>251</v>
      </c>
      <c r="C336" s="2" t="s">
        <v>345</v>
      </c>
      <c r="D336" s="2">
        <v>2</v>
      </c>
      <c r="E336" s="4">
        <f>VLOOKUP(C336,Products!$A:$E,4,FALSE())</f>
        <v>13.49</v>
      </c>
      <c r="F336" s="8">
        <v>0</v>
      </c>
      <c r="G336" s="4">
        <f t="shared" si="20"/>
        <v>13.49</v>
      </c>
      <c r="H336" s="4">
        <f>VLOOKUP(C336,Products!$A:$E,5,FALSE())</f>
        <v>4.5</v>
      </c>
      <c r="I336" s="4">
        <f t="shared" si="21"/>
        <v>26.98</v>
      </c>
      <c r="J336" s="4">
        <f t="shared" si="22"/>
        <v>17.98</v>
      </c>
      <c r="K336" s="9">
        <f t="shared" si="23"/>
        <v>0.66641957005189034</v>
      </c>
      <c r="L336" s="2" t="str">
        <f>IF(VLOOKUP(B336,Orders!$A:$D,4,FALSE())="Vrátená",INDEX({"Nevyhovujúca veľkosť";"Poškodený tovar pri doprave";"Produkt nezodpovedal popisu";"Zákazník zmenil názor";"Neskoré doručenie";"Chybný/vadný kus";"Duplicitná objednávka"},MOD(CODE(LEFT(A336,1))+LEN(A336),7)+1),"")</f>
        <v/>
      </c>
    </row>
    <row r="337" spans="1:12" x14ac:dyDescent="0.3">
      <c r="A337" s="5" t="s">
        <v>684</v>
      </c>
      <c r="B337" s="5" t="s">
        <v>252</v>
      </c>
      <c r="C337" s="5" t="s">
        <v>330</v>
      </c>
      <c r="D337" s="5">
        <v>1</v>
      </c>
      <c r="E337" s="7">
        <f>VLOOKUP(C337,Products!$A:$E,4,FALSE())</f>
        <v>14.99</v>
      </c>
      <c r="F337" s="10">
        <v>0.05</v>
      </c>
      <c r="G337" s="7">
        <f t="shared" si="20"/>
        <v>14.240499999999999</v>
      </c>
      <c r="H337" s="7">
        <f>VLOOKUP(C337,Products!$A:$E,5,FALSE())</f>
        <v>5.5</v>
      </c>
      <c r="I337" s="7">
        <f t="shared" si="21"/>
        <v>14.240499999999999</v>
      </c>
      <c r="J337" s="7">
        <f t="shared" si="22"/>
        <v>8.740499999999999</v>
      </c>
      <c r="K337" s="11">
        <f t="shared" si="23"/>
        <v>0.6137776061233805</v>
      </c>
      <c r="L337" s="5" t="str">
        <f>IF(VLOOKUP(B337,Orders!$A:$D,4,FALSE())="Vrátená",INDEX({"Nevyhovujúca veľkosť";"Poškodený tovar pri doprave";"Produkt nezodpovedal popisu";"Zákazník zmenil názor";"Neskoré doručenie";"Chybný/vadný kus";"Duplicitná objednávka"},MOD(CODE(LEFT(A337,1))+LEN(A337),7)+1),"")</f>
        <v/>
      </c>
    </row>
    <row r="338" spans="1:12" x14ac:dyDescent="0.3">
      <c r="A338" s="2" t="s">
        <v>685</v>
      </c>
      <c r="B338" s="2" t="s">
        <v>252</v>
      </c>
      <c r="C338" s="2" t="s">
        <v>361</v>
      </c>
      <c r="D338" s="2">
        <v>2</v>
      </c>
      <c r="E338" s="4">
        <f>VLOOKUP(C338,Products!$A:$E,4,FALSE())</f>
        <v>27.49</v>
      </c>
      <c r="F338" s="8">
        <v>0.05</v>
      </c>
      <c r="G338" s="4">
        <f t="shared" si="20"/>
        <v>26.115499999999997</v>
      </c>
      <c r="H338" s="4">
        <f>VLOOKUP(C338,Products!$A:$E,5,FALSE())</f>
        <v>11</v>
      </c>
      <c r="I338" s="4">
        <f t="shared" si="21"/>
        <v>52.230999999999995</v>
      </c>
      <c r="J338" s="4">
        <f t="shared" si="22"/>
        <v>30.230999999999995</v>
      </c>
      <c r="K338" s="9">
        <f t="shared" si="23"/>
        <v>0.57879420267657133</v>
      </c>
      <c r="L338" s="2" t="str">
        <f>IF(VLOOKUP(B338,Orders!$A:$D,4,FALSE())="Vrátená",INDEX({"Nevyhovujúca veľkosť";"Poškodený tovar pri doprave";"Produkt nezodpovedal popisu";"Zákazník zmenil názor";"Neskoré doručenie";"Chybný/vadný kus";"Duplicitná objednávka"},MOD(CODE(LEFT(A338,1))+LEN(A338),7)+1),"")</f>
        <v/>
      </c>
    </row>
    <row r="339" spans="1:12" x14ac:dyDescent="0.3">
      <c r="A339" s="5" t="s">
        <v>686</v>
      </c>
      <c r="B339" s="5" t="s">
        <v>252</v>
      </c>
      <c r="C339" s="5" t="s">
        <v>484</v>
      </c>
      <c r="D339" s="5">
        <v>1</v>
      </c>
      <c r="E339" s="7">
        <f>VLOOKUP(C339,Products!$A:$E,4,FALSE())</f>
        <v>19.989999999999998</v>
      </c>
      <c r="F339" s="10">
        <v>0.2</v>
      </c>
      <c r="G339" s="7">
        <f t="shared" si="20"/>
        <v>15.991999999999999</v>
      </c>
      <c r="H339" s="7">
        <f>VLOOKUP(C339,Products!$A:$E,5,FALSE())</f>
        <v>7</v>
      </c>
      <c r="I339" s="7">
        <f t="shared" si="21"/>
        <v>15.991999999999999</v>
      </c>
      <c r="J339" s="7">
        <f t="shared" si="22"/>
        <v>8.9919999999999991</v>
      </c>
      <c r="K339" s="11">
        <f t="shared" si="23"/>
        <v>0.56228114057028511</v>
      </c>
      <c r="L339" s="5" t="str">
        <f>IF(VLOOKUP(B339,Orders!$A:$D,4,FALSE())="Vrátená",INDEX({"Nevyhovujúca veľkosť";"Poškodený tovar pri doprave";"Produkt nezodpovedal popisu";"Zákazník zmenil názor";"Neskoré doručenie";"Chybný/vadný kus";"Duplicitná objednávka"},MOD(CODE(LEFT(A339,1))+LEN(A339),7)+1),"")</f>
        <v/>
      </c>
    </row>
    <row r="340" spans="1:12" x14ac:dyDescent="0.3">
      <c r="A340" s="2" t="s">
        <v>687</v>
      </c>
      <c r="B340" s="2" t="s">
        <v>253</v>
      </c>
      <c r="C340" s="2" t="s">
        <v>357</v>
      </c>
      <c r="D340" s="2">
        <v>1</v>
      </c>
      <c r="E340" s="4">
        <f>VLOOKUP(C340,Products!$A:$E,4,FALSE())</f>
        <v>13.99</v>
      </c>
      <c r="F340" s="8">
        <v>0.2</v>
      </c>
      <c r="G340" s="4">
        <f t="shared" si="20"/>
        <v>11.192</v>
      </c>
      <c r="H340" s="4">
        <f>VLOOKUP(C340,Products!$A:$E,5,FALSE())</f>
        <v>5.5</v>
      </c>
      <c r="I340" s="4">
        <f t="shared" si="21"/>
        <v>11.192</v>
      </c>
      <c r="J340" s="4">
        <f t="shared" si="22"/>
        <v>5.6920000000000002</v>
      </c>
      <c r="K340" s="9">
        <f t="shared" si="23"/>
        <v>0.5085775553967119</v>
      </c>
      <c r="L340" s="2" t="str">
        <f>IF(VLOOKUP(B340,Orders!$A:$D,4,FALSE())="Vrátená",INDEX({"Nevyhovujúca veľkosť";"Poškodený tovar pri doprave";"Produkt nezodpovedal popisu";"Zákazník zmenil názor";"Neskoré doručenie";"Chybný/vadný kus";"Duplicitná objednávka"},MOD(CODE(LEFT(A340,1))+LEN(A340),7)+1),"")</f>
        <v/>
      </c>
    </row>
    <row r="341" spans="1:12" x14ac:dyDescent="0.3">
      <c r="A341" s="5" t="s">
        <v>688</v>
      </c>
      <c r="B341" s="5" t="s">
        <v>254</v>
      </c>
      <c r="C341" s="5" t="s">
        <v>422</v>
      </c>
      <c r="D341" s="5">
        <v>1</v>
      </c>
      <c r="E341" s="7">
        <f>VLOOKUP(C341,Products!$A:$E,4,FALSE())</f>
        <v>49.99</v>
      </c>
      <c r="F341" s="10">
        <v>0</v>
      </c>
      <c r="G341" s="7">
        <f t="shared" si="20"/>
        <v>49.99</v>
      </c>
      <c r="H341" s="7">
        <f>VLOOKUP(C341,Products!$A:$E,5,FALSE())</f>
        <v>20</v>
      </c>
      <c r="I341" s="7">
        <f t="shared" si="21"/>
        <v>49.99</v>
      </c>
      <c r="J341" s="7">
        <f t="shared" si="22"/>
        <v>29.990000000000002</v>
      </c>
      <c r="K341" s="11">
        <f t="shared" si="23"/>
        <v>0.59991998399679936</v>
      </c>
      <c r="L341" s="5" t="str">
        <f>IF(VLOOKUP(B341,Orders!$A:$D,4,FALSE())="Vrátená",INDEX({"Nevyhovujúca veľkosť";"Poškodený tovar pri doprave";"Produkt nezodpovedal popisu";"Zákazník zmenil názor";"Neskoré doručenie";"Chybný/vadný kus";"Duplicitná objednávka"},MOD(CODE(LEFT(A341,1))+LEN(A341),7)+1),"")</f>
        <v/>
      </c>
    </row>
    <row r="342" spans="1:12" x14ac:dyDescent="0.3">
      <c r="A342" s="2" t="s">
        <v>689</v>
      </c>
      <c r="B342" s="2" t="s">
        <v>254</v>
      </c>
      <c r="C342" s="2" t="s">
        <v>428</v>
      </c>
      <c r="D342" s="2">
        <v>1</v>
      </c>
      <c r="E342" s="4">
        <f>VLOOKUP(C342,Products!$A:$E,4,FALSE())</f>
        <v>10.49</v>
      </c>
      <c r="F342" s="8">
        <v>0</v>
      </c>
      <c r="G342" s="4">
        <f t="shared" si="20"/>
        <v>10.49</v>
      </c>
      <c r="H342" s="4">
        <f>VLOOKUP(C342,Products!$A:$E,5,FALSE())</f>
        <v>3.5</v>
      </c>
      <c r="I342" s="4">
        <f t="shared" si="21"/>
        <v>10.49</v>
      </c>
      <c r="J342" s="4">
        <f t="shared" si="22"/>
        <v>6.99</v>
      </c>
      <c r="K342" s="9">
        <f t="shared" si="23"/>
        <v>0.66634890371782651</v>
      </c>
      <c r="L342" s="2" t="str">
        <f>IF(VLOOKUP(B342,Orders!$A:$D,4,FALSE())="Vrátená",INDEX({"Nevyhovujúca veľkosť";"Poškodený tovar pri doprave";"Produkt nezodpovedal popisu";"Zákazník zmenil názor";"Neskoré doručenie";"Chybný/vadný kus";"Duplicitná objednávka"},MOD(CODE(LEFT(A342,1))+LEN(A342),7)+1),"")</f>
        <v/>
      </c>
    </row>
    <row r="343" spans="1:12" x14ac:dyDescent="0.3">
      <c r="A343" s="5" t="s">
        <v>690</v>
      </c>
      <c r="B343" s="5" t="s">
        <v>256</v>
      </c>
      <c r="C343" s="5" t="s">
        <v>334</v>
      </c>
      <c r="D343" s="5">
        <v>1</v>
      </c>
      <c r="E343" s="7">
        <f>VLOOKUP(C343,Products!$A:$E,4,FALSE())</f>
        <v>21.49</v>
      </c>
      <c r="F343" s="10">
        <v>0</v>
      </c>
      <c r="G343" s="7">
        <f t="shared" si="20"/>
        <v>21.49</v>
      </c>
      <c r="H343" s="7">
        <f>VLOOKUP(C343,Products!$A:$E,5,FALSE())</f>
        <v>8</v>
      </c>
      <c r="I343" s="7">
        <f t="shared" si="21"/>
        <v>21.49</v>
      </c>
      <c r="J343" s="7">
        <f t="shared" si="22"/>
        <v>13.489999999999998</v>
      </c>
      <c r="K343" s="11">
        <f t="shared" si="23"/>
        <v>0.62773382968822711</v>
      </c>
      <c r="L343" s="5" t="str">
        <f>IF(VLOOKUP(B343,Orders!$A:$D,4,FALSE())="Vrátená",INDEX({"Nevyhovujúca veľkosť";"Poškodený tovar pri doprave";"Produkt nezodpovedal popisu";"Zákazník zmenil názor";"Neskoré doručenie";"Chybný/vadný kus";"Duplicitná objednávka"},MOD(CODE(LEFT(A343,1))+LEN(A343),7)+1),"")</f>
        <v/>
      </c>
    </row>
    <row r="344" spans="1:12" x14ac:dyDescent="0.3">
      <c r="A344" s="2" t="s">
        <v>691</v>
      </c>
      <c r="B344" s="2" t="s">
        <v>256</v>
      </c>
      <c r="C344" s="2" t="s">
        <v>316</v>
      </c>
      <c r="D344" s="2">
        <v>1</v>
      </c>
      <c r="E344" s="4">
        <f>VLOOKUP(C344,Products!$A:$E,4,FALSE())</f>
        <v>39.99</v>
      </c>
      <c r="F344" s="8">
        <v>0</v>
      </c>
      <c r="G344" s="4">
        <f t="shared" si="20"/>
        <v>39.99</v>
      </c>
      <c r="H344" s="4">
        <f>VLOOKUP(C344,Products!$A:$E,5,FALSE())</f>
        <v>16</v>
      </c>
      <c r="I344" s="4">
        <f t="shared" si="21"/>
        <v>39.99</v>
      </c>
      <c r="J344" s="4">
        <f t="shared" si="22"/>
        <v>23.990000000000002</v>
      </c>
      <c r="K344" s="9">
        <f t="shared" si="23"/>
        <v>0.59989997499374847</v>
      </c>
      <c r="L344" s="2" t="str">
        <f>IF(VLOOKUP(B344,Orders!$A:$D,4,FALSE())="Vrátená",INDEX({"Nevyhovujúca veľkosť";"Poškodený tovar pri doprave";"Produkt nezodpovedal popisu";"Zákazník zmenil názor";"Neskoré doručenie";"Chybný/vadný kus";"Duplicitná objednávka"},MOD(CODE(LEFT(A344,1))+LEN(A344),7)+1),"")</f>
        <v/>
      </c>
    </row>
    <row r="345" spans="1:12" x14ac:dyDescent="0.3">
      <c r="A345" s="5" t="s">
        <v>692</v>
      </c>
      <c r="B345" s="5" t="s">
        <v>257</v>
      </c>
      <c r="C345" s="5" t="s">
        <v>364</v>
      </c>
      <c r="D345" s="5">
        <v>1</v>
      </c>
      <c r="E345" s="7">
        <f>VLOOKUP(C345,Products!$A:$E,4,FALSE())</f>
        <v>49.99</v>
      </c>
      <c r="F345" s="10">
        <v>0.15</v>
      </c>
      <c r="G345" s="7">
        <f t="shared" si="20"/>
        <v>42.491500000000002</v>
      </c>
      <c r="H345" s="7">
        <f>VLOOKUP(C345,Products!$A:$E,5,FALSE())</f>
        <v>22</v>
      </c>
      <c r="I345" s="7">
        <f t="shared" si="21"/>
        <v>42.491500000000002</v>
      </c>
      <c r="J345" s="7">
        <f t="shared" si="22"/>
        <v>20.491500000000002</v>
      </c>
      <c r="K345" s="11">
        <f t="shared" si="23"/>
        <v>0.48224939105468156</v>
      </c>
      <c r="L345" s="5" t="str">
        <f>IF(VLOOKUP(B345,Orders!$A:$D,4,FALSE())="Vrátená",INDEX({"Nevyhovujúca veľkosť";"Poškodený tovar pri doprave";"Produkt nezodpovedal popisu";"Zákazník zmenil názor";"Neskoré doručenie";"Chybný/vadný kus";"Duplicitná objednávka"},MOD(CODE(LEFT(A345,1))+LEN(A345),7)+1),"")</f>
        <v/>
      </c>
    </row>
    <row r="346" spans="1:12" x14ac:dyDescent="0.3">
      <c r="A346" s="2" t="s">
        <v>693</v>
      </c>
      <c r="B346" s="2" t="s">
        <v>257</v>
      </c>
      <c r="C346" s="2" t="s">
        <v>439</v>
      </c>
      <c r="D346" s="2">
        <v>4</v>
      </c>
      <c r="E346" s="4">
        <f>VLOOKUP(C346,Products!$A:$E,4,FALSE())</f>
        <v>34.99</v>
      </c>
      <c r="F346" s="8">
        <v>0</v>
      </c>
      <c r="G346" s="4">
        <f t="shared" si="20"/>
        <v>34.99</v>
      </c>
      <c r="H346" s="4">
        <f>VLOOKUP(C346,Products!$A:$E,5,FALSE())</f>
        <v>13</v>
      </c>
      <c r="I346" s="4">
        <f t="shared" si="21"/>
        <v>139.96</v>
      </c>
      <c r="J346" s="4">
        <f t="shared" si="22"/>
        <v>87.960000000000008</v>
      </c>
      <c r="K346" s="9">
        <f t="shared" si="23"/>
        <v>0.62846527579308376</v>
      </c>
      <c r="L346" s="2" t="str">
        <f>IF(VLOOKUP(B346,Orders!$A:$D,4,FALSE())="Vrátená",INDEX({"Nevyhovujúca veľkosť";"Poškodený tovar pri doprave";"Produkt nezodpovedal popisu";"Zákazník zmenil názor";"Neskoré doručenie";"Chybný/vadný kus";"Duplicitná objednávka"},MOD(CODE(LEFT(A346,1))+LEN(A346),7)+1),"")</f>
        <v/>
      </c>
    </row>
    <row r="347" spans="1:12" x14ac:dyDescent="0.3">
      <c r="A347" s="5" t="s">
        <v>694</v>
      </c>
      <c r="B347" s="5" t="s">
        <v>259</v>
      </c>
      <c r="C347" s="5" t="s">
        <v>437</v>
      </c>
      <c r="D347" s="5">
        <v>1</v>
      </c>
      <c r="E347" s="7">
        <f>VLOOKUP(C347,Products!$A:$E,4,FALSE())</f>
        <v>29.99</v>
      </c>
      <c r="F347" s="10">
        <v>0</v>
      </c>
      <c r="G347" s="7">
        <f t="shared" si="20"/>
        <v>29.99</v>
      </c>
      <c r="H347" s="7">
        <f>VLOOKUP(C347,Products!$A:$E,5,FALSE())</f>
        <v>11</v>
      </c>
      <c r="I347" s="7">
        <f t="shared" si="21"/>
        <v>29.99</v>
      </c>
      <c r="J347" s="7">
        <f t="shared" si="22"/>
        <v>18.989999999999998</v>
      </c>
      <c r="K347" s="11">
        <f t="shared" si="23"/>
        <v>0.63321107035678559</v>
      </c>
      <c r="L347" s="5" t="str">
        <f>IF(VLOOKUP(B347,Orders!$A:$D,4,FALSE())="Vrátená",INDEX({"Nevyhovujúca veľkosť";"Poškodený tovar pri doprave";"Produkt nezodpovedal popisu";"Zákazník zmenil názor";"Neskoré doručenie";"Chybný/vadný kus";"Duplicitná objednávka"},MOD(CODE(LEFT(A347,1))+LEN(A347),7)+1),"")</f>
        <v/>
      </c>
    </row>
    <row r="348" spans="1:12" x14ac:dyDescent="0.3">
      <c r="A348" s="2" t="s">
        <v>695</v>
      </c>
      <c r="B348" s="2" t="s">
        <v>259</v>
      </c>
      <c r="C348" s="2" t="s">
        <v>382</v>
      </c>
      <c r="D348" s="2">
        <v>1</v>
      </c>
      <c r="E348" s="4">
        <f>VLOOKUP(C348,Products!$A:$E,4,FALSE())</f>
        <v>6.99</v>
      </c>
      <c r="F348" s="8">
        <v>0.3</v>
      </c>
      <c r="G348" s="4">
        <f t="shared" si="20"/>
        <v>4.8929999999999998</v>
      </c>
      <c r="H348" s="4">
        <f>VLOOKUP(C348,Products!$A:$E,5,FALSE())</f>
        <v>2</v>
      </c>
      <c r="I348" s="4">
        <f t="shared" si="21"/>
        <v>4.8929999999999998</v>
      </c>
      <c r="J348" s="4">
        <f t="shared" si="22"/>
        <v>2.8929999999999998</v>
      </c>
      <c r="K348" s="9">
        <f t="shared" si="23"/>
        <v>0.59125281013693032</v>
      </c>
      <c r="L348" s="2" t="str">
        <f>IF(VLOOKUP(B348,Orders!$A:$D,4,FALSE())="Vrátená",INDEX({"Nevyhovujúca veľkosť";"Poškodený tovar pri doprave";"Produkt nezodpovedal popisu";"Zákazník zmenil názor";"Neskoré doručenie";"Chybný/vadný kus";"Duplicitná objednávka"},MOD(CODE(LEFT(A348,1))+LEN(A348),7)+1),"")</f>
        <v/>
      </c>
    </row>
    <row r="349" spans="1:12" x14ac:dyDescent="0.3">
      <c r="A349" s="5" t="s">
        <v>696</v>
      </c>
      <c r="B349" s="5" t="s">
        <v>259</v>
      </c>
      <c r="C349" s="5" t="s">
        <v>386</v>
      </c>
      <c r="D349" s="5">
        <v>3</v>
      </c>
      <c r="E349" s="7">
        <f>VLOOKUP(C349,Products!$A:$E,4,FALSE())</f>
        <v>64.989999999999995</v>
      </c>
      <c r="F349" s="10">
        <v>0.2</v>
      </c>
      <c r="G349" s="7">
        <f t="shared" si="20"/>
        <v>51.991999999999997</v>
      </c>
      <c r="H349" s="7">
        <f>VLOOKUP(C349,Products!$A:$E,5,FALSE())</f>
        <v>28</v>
      </c>
      <c r="I349" s="7">
        <f t="shared" si="21"/>
        <v>155.976</v>
      </c>
      <c r="J349" s="7">
        <f t="shared" si="22"/>
        <v>71.975999999999999</v>
      </c>
      <c r="K349" s="11">
        <f t="shared" si="23"/>
        <v>0.46145560855516232</v>
      </c>
      <c r="L349" s="5" t="str">
        <f>IF(VLOOKUP(B349,Orders!$A:$D,4,FALSE())="Vrátená",INDEX({"Nevyhovujúca veľkosť";"Poškodený tovar pri doprave";"Produkt nezodpovedal popisu";"Zákazník zmenil názor";"Neskoré doručenie";"Chybný/vadný kus";"Duplicitná objednávka"},MOD(CODE(LEFT(A349,1))+LEN(A349),7)+1),"")</f>
        <v/>
      </c>
    </row>
    <row r="350" spans="1:12" x14ac:dyDescent="0.3">
      <c r="A350" s="2" t="s">
        <v>697</v>
      </c>
      <c r="B350" s="2" t="s">
        <v>259</v>
      </c>
      <c r="C350" s="2" t="s">
        <v>439</v>
      </c>
      <c r="D350" s="2">
        <v>3</v>
      </c>
      <c r="E350" s="4">
        <f>VLOOKUP(C350,Products!$A:$E,4,FALSE())</f>
        <v>34.99</v>
      </c>
      <c r="F350" s="8">
        <v>0.15</v>
      </c>
      <c r="G350" s="4">
        <f t="shared" si="20"/>
        <v>29.741500000000002</v>
      </c>
      <c r="H350" s="4">
        <f>VLOOKUP(C350,Products!$A:$E,5,FALSE())</f>
        <v>13</v>
      </c>
      <c r="I350" s="4">
        <f t="shared" si="21"/>
        <v>89.224500000000006</v>
      </c>
      <c r="J350" s="4">
        <f t="shared" si="22"/>
        <v>50.224500000000006</v>
      </c>
      <c r="K350" s="9">
        <f t="shared" si="23"/>
        <v>0.56290032446245153</v>
      </c>
      <c r="L350" s="2" t="str">
        <f>IF(VLOOKUP(B350,Orders!$A:$D,4,FALSE())="Vrátená",INDEX({"Nevyhovujúca veľkosť";"Poškodený tovar pri doprave";"Produkt nezodpovedal popisu";"Zákazník zmenil názor";"Neskoré doručenie";"Chybný/vadný kus";"Duplicitná objednávka"},MOD(CODE(LEFT(A350,1))+LEN(A350),7)+1),"")</f>
        <v/>
      </c>
    </row>
    <row r="351" spans="1:12" x14ac:dyDescent="0.3">
      <c r="A351" s="5" t="s">
        <v>698</v>
      </c>
      <c r="B351" s="5" t="s">
        <v>260</v>
      </c>
      <c r="C351" s="5" t="s">
        <v>345</v>
      </c>
      <c r="D351" s="5">
        <v>4</v>
      </c>
      <c r="E351" s="7">
        <f>VLOOKUP(C351,Products!$A:$E,4,FALSE())</f>
        <v>13.49</v>
      </c>
      <c r="F351" s="10">
        <v>0.1</v>
      </c>
      <c r="G351" s="7">
        <f t="shared" si="20"/>
        <v>12.141</v>
      </c>
      <c r="H351" s="7">
        <f>VLOOKUP(C351,Products!$A:$E,5,FALSE())</f>
        <v>4.5</v>
      </c>
      <c r="I351" s="7">
        <f t="shared" si="21"/>
        <v>48.564</v>
      </c>
      <c r="J351" s="7">
        <f t="shared" si="22"/>
        <v>30.564</v>
      </c>
      <c r="K351" s="11">
        <f t="shared" si="23"/>
        <v>0.62935507783543365</v>
      </c>
      <c r="L351" s="5" t="str">
        <f>IF(VLOOKUP(B351,Orders!$A:$D,4,FALSE())="Vrátená",INDEX({"Nevyhovujúca veľkosť";"Poškodený tovar pri doprave";"Produkt nezodpovedal popisu";"Zákazník zmenil názor";"Neskoré doručenie";"Chybný/vadný kus";"Duplicitná objednávka"},MOD(CODE(LEFT(A351,1))+LEN(A351),7)+1),"")</f>
        <v/>
      </c>
    </row>
    <row r="352" spans="1:12" x14ac:dyDescent="0.3">
      <c r="A352" s="2" t="s">
        <v>699</v>
      </c>
      <c r="B352" s="2" t="s">
        <v>260</v>
      </c>
      <c r="C352" s="2" t="s">
        <v>517</v>
      </c>
      <c r="D352" s="2">
        <v>1</v>
      </c>
      <c r="E352" s="4">
        <f>VLOOKUP(C352,Products!$A:$E,4,FALSE())</f>
        <v>26.49</v>
      </c>
      <c r="F352" s="8">
        <v>0</v>
      </c>
      <c r="G352" s="4">
        <f t="shared" si="20"/>
        <v>26.49</v>
      </c>
      <c r="H352" s="4">
        <f>VLOOKUP(C352,Products!$A:$E,5,FALSE())</f>
        <v>10.5</v>
      </c>
      <c r="I352" s="4">
        <f t="shared" si="21"/>
        <v>26.49</v>
      </c>
      <c r="J352" s="4">
        <f t="shared" si="22"/>
        <v>15.989999999999998</v>
      </c>
      <c r="K352" s="9">
        <f t="shared" si="23"/>
        <v>0.60362400906002267</v>
      </c>
      <c r="L352" s="2" t="str">
        <f>IF(VLOOKUP(B352,Orders!$A:$D,4,FALSE())="Vrátená",INDEX({"Nevyhovujúca veľkosť";"Poškodený tovar pri doprave";"Produkt nezodpovedal popisu";"Zákazník zmenil názor";"Neskoré doručenie";"Chybný/vadný kus";"Duplicitná objednávka"},MOD(CODE(LEFT(A352,1))+LEN(A352),7)+1),"")</f>
        <v/>
      </c>
    </row>
    <row r="353" spans="1:12" x14ac:dyDescent="0.3">
      <c r="A353" s="5" t="s">
        <v>700</v>
      </c>
      <c r="B353" s="5" t="s">
        <v>261</v>
      </c>
      <c r="C353" s="5" t="s">
        <v>357</v>
      </c>
      <c r="D353" s="5">
        <v>1</v>
      </c>
      <c r="E353" s="7">
        <f>VLOOKUP(C353,Products!$A:$E,4,FALSE())</f>
        <v>13.99</v>
      </c>
      <c r="F353" s="10">
        <v>0.2</v>
      </c>
      <c r="G353" s="7">
        <f t="shared" si="20"/>
        <v>11.192</v>
      </c>
      <c r="H353" s="7">
        <f>VLOOKUP(C353,Products!$A:$E,5,FALSE())</f>
        <v>5.5</v>
      </c>
      <c r="I353" s="7">
        <f t="shared" si="21"/>
        <v>11.192</v>
      </c>
      <c r="J353" s="7">
        <f t="shared" si="22"/>
        <v>5.6920000000000002</v>
      </c>
      <c r="K353" s="11">
        <f t="shared" si="23"/>
        <v>0.5085775553967119</v>
      </c>
      <c r="L353" s="5" t="str">
        <f>IF(VLOOKUP(B353,Orders!$A:$D,4,FALSE())="Vrátená",INDEX({"Nevyhovujúca veľkosť";"Poškodený tovar pri doprave";"Produkt nezodpovedal popisu";"Zákazník zmenil názor";"Neskoré doručenie";"Chybný/vadný kus";"Duplicitná objednávka"},MOD(CODE(LEFT(A353,1))+LEN(A353),7)+1),"")</f>
        <v/>
      </c>
    </row>
    <row r="354" spans="1:12" x14ac:dyDescent="0.3">
      <c r="A354" s="2" t="s">
        <v>701</v>
      </c>
      <c r="B354" s="2" t="s">
        <v>261</v>
      </c>
      <c r="C354" s="2" t="s">
        <v>308</v>
      </c>
      <c r="D354" s="2">
        <v>3</v>
      </c>
      <c r="E354" s="4">
        <f>VLOOKUP(C354,Products!$A:$E,4,FALSE())</f>
        <v>22.49</v>
      </c>
      <c r="F354" s="8">
        <v>0.2</v>
      </c>
      <c r="G354" s="4">
        <f t="shared" si="20"/>
        <v>17.992000000000001</v>
      </c>
      <c r="H354" s="4">
        <f>VLOOKUP(C354,Products!$A:$E,5,FALSE())</f>
        <v>9</v>
      </c>
      <c r="I354" s="4">
        <f t="shared" si="21"/>
        <v>53.975999999999999</v>
      </c>
      <c r="J354" s="4">
        <f t="shared" si="22"/>
        <v>26.975999999999999</v>
      </c>
      <c r="K354" s="9">
        <f t="shared" si="23"/>
        <v>0.49977767896843039</v>
      </c>
      <c r="L354" s="2" t="str">
        <f>IF(VLOOKUP(B354,Orders!$A:$D,4,FALSE())="Vrátená",INDEX({"Nevyhovujúca veľkosť";"Poškodený tovar pri doprave";"Produkt nezodpovedal popisu";"Zákazník zmenil názor";"Neskoré doručenie";"Chybný/vadný kus";"Duplicitná objednávka"},MOD(CODE(LEFT(A354,1))+LEN(A354),7)+1),"")</f>
        <v/>
      </c>
    </row>
    <row r="355" spans="1:12" x14ac:dyDescent="0.3">
      <c r="A355" s="5" t="s">
        <v>702</v>
      </c>
      <c r="B355" s="5" t="s">
        <v>262</v>
      </c>
      <c r="C355" s="5" t="s">
        <v>359</v>
      </c>
      <c r="D355" s="5">
        <v>1</v>
      </c>
      <c r="E355" s="7">
        <f>VLOOKUP(C355,Products!$A:$E,4,FALSE())</f>
        <v>16.989999999999998</v>
      </c>
      <c r="F355" s="10">
        <v>0.05</v>
      </c>
      <c r="G355" s="7">
        <f t="shared" si="20"/>
        <v>16.140499999999999</v>
      </c>
      <c r="H355" s="7">
        <f>VLOOKUP(C355,Products!$A:$E,5,FALSE())</f>
        <v>6</v>
      </c>
      <c r="I355" s="7">
        <f t="shared" si="21"/>
        <v>16.140499999999999</v>
      </c>
      <c r="J355" s="7">
        <f t="shared" si="22"/>
        <v>10.140499999999999</v>
      </c>
      <c r="K355" s="11">
        <f t="shared" si="23"/>
        <v>0.62826430407979927</v>
      </c>
      <c r="L355" s="5" t="str">
        <f>IF(VLOOKUP(B355,Orders!$A:$D,4,FALSE())="Vrátená",INDEX({"Nevyhovujúca veľkosť";"Poškodený tovar pri doprave";"Produkt nezodpovedal popisu";"Zákazník zmenil názor";"Neskoré doručenie";"Chybný/vadný kus";"Duplicitná objednávka"},MOD(CODE(LEFT(A355,1))+LEN(A355),7)+1),"")</f>
        <v/>
      </c>
    </row>
    <row r="356" spans="1:12" x14ac:dyDescent="0.3">
      <c r="A356" s="2" t="s">
        <v>703</v>
      </c>
      <c r="B356" s="2" t="s">
        <v>262</v>
      </c>
      <c r="C356" s="2" t="s">
        <v>442</v>
      </c>
      <c r="D356" s="2">
        <v>4</v>
      </c>
      <c r="E356" s="4">
        <f>VLOOKUP(C356,Products!$A:$E,4,FALSE())</f>
        <v>8.99</v>
      </c>
      <c r="F356" s="8">
        <v>0.05</v>
      </c>
      <c r="G356" s="4">
        <f t="shared" si="20"/>
        <v>8.5404999999999998</v>
      </c>
      <c r="H356" s="4">
        <f>VLOOKUP(C356,Products!$A:$E,5,FALSE())</f>
        <v>3</v>
      </c>
      <c r="I356" s="4">
        <f t="shared" si="21"/>
        <v>34.161999999999999</v>
      </c>
      <c r="J356" s="4">
        <f t="shared" si="22"/>
        <v>22.161999999999999</v>
      </c>
      <c r="K356" s="9">
        <f t="shared" si="23"/>
        <v>0.64873250980621744</v>
      </c>
      <c r="L356" s="2" t="str">
        <f>IF(VLOOKUP(B356,Orders!$A:$D,4,FALSE())="Vrátená",INDEX({"Nevyhovujúca veľkosť";"Poškodený tovar pri doprave";"Produkt nezodpovedal popisu";"Zákazník zmenil názor";"Neskoré doručenie";"Chybný/vadný kus";"Duplicitná objednávka"},MOD(CODE(LEFT(A356,1))+LEN(A356),7)+1),"")</f>
        <v/>
      </c>
    </row>
    <row r="357" spans="1:12" x14ac:dyDescent="0.3">
      <c r="A357" s="5" t="s">
        <v>704</v>
      </c>
      <c r="B357" s="5" t="s">
        <v>263</v>
      </c>
      <c r="C357" s="5" t="s">
        <v>355</v>
      </c>
      <c r="D357" s="5">
        <v>1</v>
      </c>
      <c r="E357" s="7">
        <f>VLOOKUP(C357,Products!$A:$E,4,FALSE())</f>
        <v>27.99</v>
      </c>
      <c r="F357" s="10">
        <v>0</v>
      </c>
      <c r="G357" s="7">
        <f t="shared" si="20"/>
        <v>27.99</v>
      </c>
      <c r="H357" s="7">
        <f>VLOOKUP(C357,Products!$A:$E,5,FALSE())</f>
        <v>12</v>
      </c>
      <c r="I357" s="7">
        <f t="shared" si="21"/>
        <v>27.99</v>
      </c>
      <c r="J357" s="7">
        <f t="shared" si="22"/>
        <v>15.989999999999998</v>
      </c>
      <c r="K357" s="11">
        <f t="shared" si="23"/>
        <v>0.5712754555198285</v>
      </c>
      <c r="L357" s="5" t="str">
        <f>IF(VLOOKUP(B357,Orders!$A:$D,4,FALSE())="Vrátená",INDEX({"Nevyhovujúca veľkosť";"Poškodený tovar pri doprave";"Produkt nezodpovedal popisu";"Zákazník zmenil názor";"Neskoré doručenie";"Chybný/vadný kus";"Duplicitná objednávka"},MOD(CODE(LEFT(A357,1))+LEN(A357),7)+1),"")</f>
        <v/>
      </c>
    </row>
    <row r="358" spans="1:12" x14ac:dyDescent="0.3">
      <c r="A358" s="2" t="s">
        <v>705</v>
      </c>
      <c r="B358" s="2" t="s">
        <v>264</v>
      </c>
      <c r="C358" s="2" t="s">
        <v>334</v>
      </c>
      <c r="D358" s="2">
        <v>2</v>
      </c>
      <c r="E358" s="4">
        <f>VLOOKUP(C358,Products!$A:$E,4,FALSE())</f>
        <v>21.49</v>
      </c>
      <c r="F358" s="8">
        <v>0.2</v>
      </c>
      <c r="G358" s="4">
        <f t="shared" si="20"/>
        <v>17.192</v>
      </c>
      <c r="H358" s="4">
        <f>VLOOKUP(C358,Products!$A:$E,5,FALSE())</f>
        <v>8</v>
      </c>
      <c r="I358" s="4">
        <f t="shared" si="21"/>
        <v>34.384</v>
      </c>
      <c r="J358" s="4">
        <f t="shared" si="22"/>
        <v>18.384</v>
      </c>
      <c r="K358" s="9">
        <f t="shared" si="23"/>
        <v>0.53466728711028388</v>
      </c>
      <c r="L358" s="2" t="str">
        <f>IF(VLOOKUP(B358,Orders!$A:$D,4,FALSE())="Vrátená",INDEX({"Nevyhovujúca veľkosť";"Poškodený tovar pri doprave";"Produkt nezodpovedal popisu";"Zákazník zmenil názor";"Neskoré doručenie";"Chybný/vadný kus";"Duplicitná objednávka"},MOD(CODE(LEFT(A358,1))+LEN(A358),7)+1),"")</f>
        <v/>
      </c>
    </row>
    <row r="359" spans="1:12" x14ac:dyDescent="0.3">
      <c r="A359" s="5" t="s">
        <v>706</v>
      </c>
      <c r="B359" s="5" t="s">
        <v>264</v>
      </c>
      <c r="C359" s="5" t="s">
        <v>342</v>
      </c>
      <c r="D359" s="5">
        <v>1</v>
      </c>
      <c r="E359" s="7">
        <f>VLOOKUP(C359,Products!$A:$E,4,FALSE())</f>
        <v>29.99</v>
      </c>
      <c r="F359" s="10">
        <v>0.05</v>
      </c>
      <c r="G359" s="7">
        <f t="shared" si="20"/>
        <v>28.490499999999997</v>
      </c>
      <c r="H359" s="7">
        <f>VLOOKUP(C359,Products!$A:$E,5,FALSE())</f>
        <v>12.5</v>
      </c>
      <c r="I359" s="7">
        <f t="shared" si="21"/>
        <v>28.490499999999997</v>
      </c>
      <c r="J359" s="7">
        <f t="shared" si="22"/>
        <v>15.990499999999997</v>
      </c>
      <c r="K359" s="11">
        <f t="shared" si="23"/>
        <v>0.56125726119232722</v>
      </c>
      <c r="L359" s="5" t="str">
        <f>IF(VLOOKUP(B359,Orders!$A:$D,4,FALSE())="Vrátená",INDEX({"Nevyhovujúca veľkosť";"Poškodený tovar pri doprave";"Produkt nezodpovedal popisu";"Zákazník zmenil názor";"Neskoré doručenie";"Chybný/vadný kus";"Duplicitná objednávka"},MOD(CODE(LEFT(A359,1))+LEN(A359),7)+1),"")</f>
        <v/>
      </c>
    </row>
    <row r="360" spans="1:12" x14ac:dyDescent="0.3">
      <c r="A360" s="2" t="s">
        <v>707</v>
      </c>
      <c r="B360" s="2" t="s">
        <v>264</v>
      </c>
      <c r="C360" s="2" t="s">
        <v>322</v>
      </c>
      <c r="D360" s="2">
        <v>4</v>
      </c>
      <c r="E360" s="4">
        <f>VLOOKUP(C360,Products!$A:$E,4,FALSE())</f>
        <v>104.99</v>
      </c>
      <c r="F360" s="8">
        <v>0.2</v>
      </c>
      <c r="G360" s="4">
        <f t="shared" si="20"/>
        <v>83.992000000000004</v>
      </c>
      <c r="H360" s="4">
        <f>VLOOKUP(C360,Products!$A:$E,5,FALSE())</f>
        <v>55</v>
      </c>
      <c r="I360" s="4">
        <f t="shared" si="21"/>
        <v>335.96800000000002</v>
      </c>
      <c r="J360" s="4">
        <f t="shared" si="22"/>
        <v>115.96800000000002</v>
      </c>
      <c r="K360" s="9">
        <f t="shared" si="23"/>
        <v>0.34517573102200211</v>
      </c>
      <c r="L360" s="2" t="str">
        <f>IF(VLOOKUP(B360,Orders!$A:$D,4,FALSE())="Vrátená",INDEX({"Nevyhovujúca veľkosť";"Poškodený tovar pri doprave";"Produkt nezodpovedal popisu";"Zákazník zmenil názor";"Neskoré doručenie";"Chybný/vadný kus";"Duplicitná objednávka"},MOD(CODE(LEFT(A360,1))+LEN(A360),7)+1),"")</f>
        <v/>
      </c>
    </row>
    <row r="361" spans="1:12" x14ac:dyDescent="0.3">
      <c r="A361" s="5" t="s">
        <v>708</v>
      </c>
      <c r="B361" s="5" t="s">
        <v>264</v>
      </c>
      <c r="C361" s="5" t="s">
        <v>422</v>
      </c>
      <c r="D361" s="5">
        <v>2</v>
      </c>
      <c r="E361" s="7">
        <f>VLOOKUP(C361,Products!$A:$E,4,FALSE())</f>
        <v>49.99</v>
      </c>
      <c r="F361" s="10">
        <v>0</v>
      </c>
      <c r="G361" s="7">
        <f t="shared" si="20"/>
        <v>49.99</v>
      </c>
      <c r="H361" s="7">
        <f>VLOOKUP(C361,Products!$A:$E,5,FALSE())</f>
        <v>20</v>
      </c>
      <c r="I361" s="7">
        <f t="shared" si="21"/>
        <v>99.98</v>
      </c>
      <c r="J361" s="7">
        <f t="shared" si="22"/>
        <v>59.980000000000004</v>
      </c>
      <c r="K361" s="11">
        <f t="shared" si="23"/>
        <v>0.59991998399679936</v>
      </c>
      <c r="L361" s="5" t="str">
        <f>IF(VLOOKUP(B361,Orders!$A:$D,4,FALSE())="Vrátená",INDEX({"Nevyhovujúca veľkosť";"Poškodený tovar pri doprave";"Produkt nezodpovedal popisu";"Zákazník zmenil názor";"Neskoré doručenie";"Chybný/vadný kus";"Duplicitná objednávka"},MOD(CODE(LEFT(A361,1))+LEN(A361),7)+1),"")</f>
        <v/>
      </c>
    </row>
    <row r="362" spans="1:12" x14ac:dyDescent="0.3">
      <c r="A362" s="2" t="s">
        <v>709</v>
      </c>
      <c r="B362" s="2" t="s">
        <v>266</v>
      </c>
      <c r="C362" s="2" t="s">
        <v>492</v>
      </c>
      <c r="D362" s="2">
        <v>1</v>
      </c>
      <c r="E362" s="4">
        <f>VLOOKUP(C362,Products!$A:$E,4,FALSE())</f>
        <v>11.99</v>
      </c>
      <c r="F362" s="8">
        <v>0.1</v>
      </c>
      <c r="G362" s="4">
        <f t="shared" si="20"/>
        <v>10.791</v>
      </c>
      <c r="H362" s="4">
        <f>VLOOKUP(C362,Products!$A:$E,5,FALSE())</f>
        <v>4</v>
      </c>
      <c r="I362" s="4">
        <f t="shared" si="21"/>
        <v>10.791</v>
      </c>
      <c r="J362" s="4">
        <f t="shared" si="22"/>
        <v>6.7910000000000004</v>
      </c>
      <c r="K362" s="9">
        <f t="shared" si="23"/>
        <v>0.62932073023816149</v>
      </c>
      <c r="L362" s="2" t="str">
        <f>IF(VLOOKUP(B362,Orders!$A:$D,4,FALSE())="Vrátená",INDEX({"Nevyhovujúca veľkosť";"Poškodený tovar pri doprave";"Produkt nezodpovedal popisu";"Zákazník zmenil názor";"Neskoré doručenie";"Chybný/vadný kus";"Duplicitná objednávka"},MOD(CODE(LEFT(A362,1))+LEN(A362),7)+1),"")</f>
        <v/>
      </c>
    </row>
    <row r="363" spans="1:12" x14ac:dyDescent="0.3">
      <c r="A363" s="5" t="s">
        <v>710</v>
      </c>
      <c r="B363" s="5" t="s">
        <v>266</v>
      </c>
      <c r="C363" s="5" t="s">
        <v>340</v>
      </c>
      <c r="D363" s="5">
        <v>1</v>
      </c>
      <c r="E363" s="7">
        <f>VLOOKUP(C363,Products!$A:$E,4,FALSE())</f>
        <v>44.99</v>
      </c>
      <c r="F363" s="10">
        <v>0.05</v>
      </c>
      <c r="G363" s="7">
        <f t="shared" si="20"/>
        <v>42.740499999999997</v>
      </c>
      <c r="H363" s="7">
        <f>VLOOKUP(C363,Products!$A:$E,5,FALSE())</f>
        <v>18</v>
      </c>
      <c r="I363" s="7">
        <f t="shared" si="21"/>
        <v>42.740499999999997</v>
      </c>
      <c r="J363" s="7">
        <f t="shared" si="22"/>
        <v>24.740499999999997</v>
      </c>
      <c r="K363" s="11">
        <f t="shared" si="23"/>
        <v>0.57885378037224644</v>
      </c>
      <c r="L363" s="5" t="str">
        <f>IF(VLOOKUP(B363,Orders!$A:$D,4,FALSE())="Vrátená",INDEX({"Nevyhovujúca veľkosť";"Poškodený tovar pri doprave";"Produkt nezodpovedal popisu";"Zákazník zmenil názor";"Neskoré doručenie";"Chybný/vadný kus";"Duplicitná objednávka"},MOD(CODE(LEFT(A363,1))+LEN(A363),7)+1),"")</f>
        <v/>
      </c>
    </row>
    <row r="364" spans="1:12" x14ac:dyDescent="0.3">
      <c r="A364" s="2" t="s">
        <v>711</v>
      </c>
      <c r="B364" s="2" t="s">
        <v>268</v>
      </c>
      <c r="C364" s="2" t="s">
        <v>386</v>
      </c>
      <c r="D364" s="2">
        <v>1</v>
      </c>
      <c r="E364" s="4">
        <f>VLOOKUP(C364,Products!$A:$E,4,FALSE())</f>
        <v>64.989999999999995</v>
      </c>
      <c r="F364" s="8">
        <v>0.05</v>
      </c>
      <c r="G364" s="4">
        <f t="shared" si="20"/>
        <v>61.74049999999999</v>
      </c>
      <c r="H364" s="4">
        <f>VLOOKUP(C364,Products!$A:$E,5,FALSE())</f>
        <v>28</v>
      </c>
      <c r="I364" s="4">
        <f t="shared" si="21"/>
        <v>61.74049999999999</v>
      </c>
      <c r="J364" s="4">
        <f t="shared" si="22"/>
        <v>33.74049999999999</v>
      </c>
      <c r="K364" s="9">
        <f t="shared" si="23"/>
        <v>0.54648893352013661</v>
      </c>
      <c r="L364" s="2" t="str">
        <f>IF(VLOOKUP(B364,Orders!$A:$D,4,FALSE())="Vrátená",INDEX({"Nevyhovujúca veľkosť";"Poškodený tovar pri doprave";"Produkt nezodpovedal popisu";"Zákazník zmenil názor";"Neskoré doručenie";"Chybný/vadný kus";"Duplicitná objednávka"},MOD(CODE(LEFT(A364,1))+LEN(A364),7)+1),"")</f>
        <v/>
      </c>
    </row>
    <row r="365" spans="1:12" x14ac:dyDescent="0.3">
      <c r="A365" s="5" t="s">
        <v>712</v>
      </c>
      <c r="B365" s="5" t="s">
        <v>269</v>
      </c>
      <c r="C365" s="5" t="s">
        <v>517</v>
      </c>
      <c r="D365" s="5">
        <v>1</v>
      </c>
      <c r="E365" s="7">
        <f>VLOOKUP(C365,Products!$A:$E,4,FALSE())</f>
        <v>26.49</v>
      </c>
      <c r="F365" s="10">
        <v>0</v>
      </c>
      <c r="G365" s="7">
        <f t="shared" si="20"/>
        <v>26.49</v>
      </c>
      <c r="H365" s="7">
        <f>VLOOKUP(C365,Products!$A:$E,5,FALSE())</f>
        <v>10.5</v>
      </c>
      <c r="I365" s="7">
        <f t="shared" si="21"/>
        <v>26.49</v>
      </c>
      <c r="J365" s="7">
        <f t="shared" si="22"/>
        <v>15.989999999999998</v>
      </c>
      <c r="K365" s="11">
        <f t="shared" si="23"/>
        <v>0.60362400906002267</v>
      </c>
      <c r="L365" s="5" t="str">
        <f>IF(VLOOKUP(B365,Orders!$A:$D,4,FALSE())="Vrátená",INDEX({"Nevyhovujúca veľkosť";"Poškodený tovar pri doprave";"Produkt nezodpovedal popisu";"Zákazník zmenil názor";"Neskoré doručenie";"Chybný/vadný kus";"Duplicitná objednávka"},MOD(CODE(LEFT(A365,1))+LEN(A365),7)+1),"")</f>
        <v/>
      </c>
    </row>
    <row r="366" spans="1:12" x14ac:dyDescent="0.3">
      <c r="A366" s="2" t="s">
        <v>713</v>
      </c>
      <c r="B366" s="2" t="s">
        <v>270</v>
      </c>
      <c r="C366" s="2" t="s">
        <v>310</v>
      </c>
      <c r="D366" s="2">
        <v>2</v>
      </c>
      <c r="E366" s="4">
        <f>VLOOKUP(C366,Products!$A:$E,4,FALSE())</f>
        <v>34.99</v>
      </c>
      <c r="F366" s="8">
        <v>0</v>
      </c>
      <c r="G366" s="4">
        <f t="shared" si="20"/>
        <v>34.99</v>
      </c>
      <c r="H366" s="4">
        <f>VLOOKUP(C366,Products!$A:$E,5,FALSE())</f>
        <v>14</v>
      </c>
      <c r="I366" s="4">
        <f t="shared" si="21"/>
        <v>69.98</v>
      </c>
      <c r="J366" s="4">
        <f t="shared" si="22"/>
        <v>41.980000000000004</v>
      </c>
      <c r="K366" s="9">
        <f t="shared" si="23"/>
        <v>0.59988568162332101</v>
      </c>
      <c r="L366" s="2" t="str">
        <f>IF(VLOOKUP(B366,Orders!$A:$D,4,FALSE())="Vrátená",INDEX({"Nevyhovujúca veľkosť";"Poškodený tovar pri doprave";"Produkt nezodpovedal popisu";"Zákazník zmenil názor";"Neskoré doručenie";"Chybný/vadný kus";"Duplicitná objednávka"},MOD(CODE(LEFT(A366,1))+LEN(A366),7)+1),"")</f>
        <v/>
      </c>
    </row>
    <row r="367" spans="1:12" x14ac:dyDescent="0.3">
      <c r="A367" s="5" t="s">
        <v>714</v>
      </c>
      <c r="B367" s="5" t="s">
        <v>270</v>
      </c>
      <c r="C367" s="5" t="s">
        <v>302</v>
      </c>
      <c r="D367" s="5">
        <v>2</v>
      </c>
      <c r="E367" s="7">
        <f>VLOOKUP(C367,Products!$A:$E,4,FALSE())</f>
        <v>54.99</v>
      </c>
      <c r="F367" s="10">
        <v>0.05</v>
      </c>
      <c r="G367" s="7">
        <f t="shared" si="20"/>
        <v>52.240499999999997</v>
      </c>
      <c r="H367" s="7">
        <f>VLOOKUP(C367,Products!$A:$E,5,FALSE())</f>
        <v>22</v>
      </c>
      <c r="I367" s="7">
        <f t="shared" si="21"/>
        <v>104.48099999999999</v>
      </c>
      <c r="J367" s="7">
        <f t="shared" si="22"/>
        <v>60.480999999999995</v>
      </c>
      <c r="K367" s="11">
        <f t="shared" si="23"/>
        <v>0.57887079947550268</v>
      </c>
      <c r="L367" s="5" t="str">
        <f>IF(VLOOKUP(B367,Orders!$A:$D,4,FALSE())="Vrátená",INDEX({"Nevyhovujúca veľkosť";"Poškodený tovar pri doprave";"Produkt nezodpovedal popisu";"Zákazník zmenil názor";"Neskoré doručenie";"Chybný/vadný kus";"Duplicitná objednávka"},MOD(CODE(LEFT(A367,1))+LEN(A367),7)+1),"")</f>
        <v/>
      </c>
    </row>
    <row r="368" spans="1:12" x14ac:dyDescent="0.3">
      <c r="A368" s="2" t="s">
        <v>715</v>
      </c>
      <c r="B368" s="2" t="s">
        <v>270</v>
      </c>
      <c r="C368" s="2" t="s">
        <v>304</v>
      </c>
      <c r="D368" s="2">
        <v>3</v>
      </c>
      <c r="E368" s="4">
        <f>VLOOKUP(C368,Products!$A:$E,4,FALSE())</f>
        <v>42.99</v>
      </c>
      <c r="F368" s="8">
        <v>0</v>
      </c>
      <c r="G368" s="4">
        <f t="shared" si="20"/>
        <v>42.99</v>
      </c>
      <c r="H368" s="4">
        <f>VLOOKUP(C368,Products!$A:$E,5,FALSE())</f>
        <v>19.5</v>
      </c>
      <c r="I368" s="4">
        <f t="shared" si="21"/>
        <v>128.97</v>
      </c>
      <c r="J368" s="4">
        <f t="shared" si="22"/>
        <v>70.47</v>
      </c>
      <c r="K368" s="9">
        <f t="shared" si="23"/>
        <v>0.54640614096301465</v>
      </c>
      <c r="L368" s="2" t="str">
        <f>IF(VLOOKUP(B368,Orders!$A:$D,4,FALSE())="Vrátená",INDEX({"Nevyhovujúca veľkosť";"Poškodený tovar pri doprave";"Produkt nezodpovedal popisu";"Zákazník zmenil názor";"Neskoré doručenie";"Chybný/vadný kus";"Duplicitná objednávka"},MOD(CODE(LEFT(A368,1))+LEN(A368),7)+1),"")</f>
        <v/>
      </c>
    </row>
    <row r="369" spans="1:12" x14ac:dyDescent="0.3">
      <c r="A369" s="5" t="s">
        <v>716</v>
      </c>
      <c r="B369" s="5" t="s">
        <v>271</v>
      </c>
      <c r="C369" s="5" t="s">
        <v>352</v>
      </c>
      <c r="D369" s="5">
        <v>1</v>
      </c>
      <c r="E369" s="7">
        <f>VLOOKUP(C369,Products!$A:$E,4,FALSE())</f>
        <v>189.99</v>
      </c>
      <c r="F369" s="10">
        <v>0</v>
      </c>
      <c r="G369" s="7">
        <f t="shared" si="20"/>
        <v>189.99</v>
      </c>
      <c r="H369" s="7">
        <f>VLOOKUP(C369,Products!$A:$E,5,FALSE())</f>
        <v>110</v>
      </c>
      <c r="I369" s="7">
        <f t="shared" si="21"/>
        <v>189.99</v>
      </c>
      <c r="J369" s="7">
        <f t="shared" si="22"/>
        <v>79.990000000000009</v>
      </c>
      <c r="K369" s="11">
        <f t="shared" si="23"/>
        <v>0.42102215906100326</v>
      </c>
      <c r="L369" s="5" t="str">
        <f>IF(VLOOKUP(B369,Orders!$A:$D,4,FALSE())="Vrátená",INDEX({"Nevyhovujúca veľkosť";"Poškodený tovar pri doprave";"Produkt nezodpovedal popisu";"Zákazník zmenil názor";"Neskoré doručenie";"Chybný/vadný kus";"Duplicitná objednávka"},MOD(CODE(LEFT(A369,1))+LEN(A369),7)+1),"")</f>
        <v>Produkt nezodpovedal popisu</v>
      </c>
    </row>
    <row r="370" spans="1:12" x14ac:dyDescent="0.3">
      <c r="A370" s="2" t="s">
        <v>717</v>
      </c>
      <c r="B370" s="2" t="s">
        <v>271</v>
      </c>
      <c r="C370" s="2" t="s">
        <v>398</v>
      </c>
      <c r="D370" s="2">
        <v>2</v>
      </c>
      <c r="E370" s="4">
        <f>VLOOKUP(C370,Products!$A:$E,4,FALSE())</f>
        <v>22.49</v>
      </c>
      <c r="F370" s="8">
        <v>0.05</v>
      </c>
      <c r="G370" s="4">
        <f t="shared" si="20"/>
        <v>21.365499999999997</v>
      </c>
      <c r="H370" s="4">
        <f>VLOOKUP(C370,Products!$A:$E,5,FALSE())</f>
        <v>8.5</v>
      </c>
      <c r="I370" s="4">
        <f t="shared" si="21"/>
        <v>42.730999999999995</v>
      </c>
      <c r="J370" s="4">
        <f t="shared" si="22"/>
        <v>25.730999999999995</v>
      </c>
      <c r="K370" s="9">
        <f t="shared" si="23"/>
        <v>0.6021623645596873</v>
      </c>
      <c r="L370" s="2" t="str">
        <f>IF(VLOOKUP(B370,Orders!$A:$D,4,FALSE())="Vrátená",INDEX({"Nevyhovujúca veľkosť";"Poškodený tovar pri doprave";"Produkt nezodpovedal popisu";"Zákazník zmenil názor";"Neskoré doručenie";"Chybný/vadný kus";"Duplicitná objednávka"},MOD(CODE(LEFT(A370,1))+LEN(A370),7)+1),"")</f>
        <v>Produkt nezodpovedal popisu</v>
      </c>
    </row>
    <row r="371" spans="1:12" x14ac:dyDescent="0.3">
      <c r="A371" s="5" t="s">
        <v>718</v>
      </c>
      <c r="B371" s="5" t="s">
        <v>272</v>
      </c>
      <c r="C371" s="5" t="s">
        <v>316</v>
      </c>
      <c r="D371" s="5">
        <v>1</v>
      </c>
      <c r="E371" s="7">
        <f>VLOOKUP(C371,Products!$A:$E,4,FALSE())</f>
        <v>39.99</v>
      </c>
      <c r="F371" s="10">
        <v>0.05</v>
      </c>
      <c r="G371" s="7">
        <f t="shared" si="20"/>
        <v>37.990499999999997</v>
      </c>
      <c r="H371" s="7">
        <f>VLOOKUP(C371,Products!$A:$E,5,FALSE())</f>
        <v>16</v>
      </c>
      <c r="I371" s="7">
        <f t="shared" si="21"/>
        <v>37.990499999999997</v>
      </c>
      <c r="J371" s="7">
        <f t="shared" si="22"/>
        <v>21.990499999999997</v>
      </c>
      <c r="K371" s="11">
        <f t="shared" si="23"/>
        <v>0.57884207894078776</v>
      </c>
      <c r="L371" s="5" t="str">
        <f>IF(VLOOKUP(B371,Orders!$A:$D,4,FALSE())="Vrátená",INDEX({"Nevyhovujúca veľkosť";"Poškodený tovar pri doprave";"Produkt nezodpovedal popisu";"Zákazník zmenil názor";"Neskoré doručenie";"Chybný/vadný kus";"Duplicitná objednávka"},MOD(CODE(LEFT(A371,1))+LEN(A371),7)+1),"")</f>
        <v/>
      </c>
    </row>
    <row r="372" spans="1:12" x14ac:dyDescent="0.3">
      <c r="A372" s="2" t="s">
        <v>719</v>
      </c>
      <c r="B372" s="2" t="s">
        <v>272</v>
      </c>
      <c r="C372" s="2" t="s">
        <v>372</v>
      </c>
      <c r="D372" s="2">
        <v>2</v>
      </c>
      <c r="E372" s="4">
        <f>VLOOKUP(C372,Products!$A:$E,4,FALSE())</f>
        <v>39.99</v>
      </c>
      <c r="F372" s="8">
        <v>0.1</v>
      </c>
      <c r="G372" s="4">
        <f t="shared" si="20"/>
        <v>35.991</v>
      </c>
      <c r="H372" s="4">
        <f>VLOOKUP(C372,Products!$A:$E,5,FALSE())</f>
        <v>17</v>
      </c>
      <c r="I372" s="4">
        <f t="shared" si="21"/>
        <v>71.981999999999999</v>
      </c>
      <c r="J372" s="4">
        <f t="shared" si="22"/>
        <v>37.981999999999999</v>
      </c>
      <c r="K372" s="9">
        <f t="shared" si="23"/>
        <v>0.52765969270095303</v>
      </c>
      <c r="L372" s="2" t="str">
        <f>IF(VLOOKUP(B372,Orders!$A:$D,4,FALSE())="Vrátená",INDEX({"Nevyhovujúca veľkosť";"Poškodený tovar pri doprave";"Produkt nezodpovedal popisu";"Zákazník zmenil názor";"Neskoré doručenie";"Chybný/vadný kus";"Duplicitná objednávka"},MOD(CODE(LEFT(A372,1))+LEN(A372),7)+1),"")</f>
        <v/>
      </c>
    </row>
    <row r="373" spans="1:12" x14ac:dyDescent="0.3">
      <c r="A373" s="5" t="s">
        <v>720</v>
      </c>
      <c r="B373" s="5" t="s">
        <v>274</v>
      </c>
      <c r="C373" s="5" t="s">
        <v>314</v>
      </c>
      <c r="D373" s="5">
        <v>1</v>
      </c>
      <c r="E373" s="7">
        <f>VLOOKUP(C373,Products!$A:$E,4,FALSE())</f>
        <v>54.99</v>
      </c>
      <c r="F373" s="10">
        <v>0.3</v>
      </c>
      <c r="G373" s="7">
        <f t="shared" si="20"/>
        <v>38.493000000000002</v>
      </c>
      <c r="H373" s="7">
        <f>VLOOKUP(C373,Products!$A:$E,5,FALSE())</f>
        <v>26</v>
      </c>
      <c r="I373" s="7">
        <f t="shared" si="21"/>
        <v>38.493000000000002</v>
      </c>
      <c r="J373" s="7">
        <f t="shared" si="22"/>
        <v>12.493000000000002</v>
      </c>
      <c r="K373" s="11">
        <f t="shared" si="23"/>
        <v>0.32455251604187779</v>
      </c>
      <c r="L373" s="5" t="str">
        <f>IF(VLOOKUP(B373,Orders!$A:$D,4,FALSE())="Vrátená",INDEX({"Nevyhovujúca veľkosť";"Poškodený tovar pri doprave";"Produkt nezodpovedal popisu";"Zákazník zmenil názor";"Neskoré doručenie";"Chybný/vadný kus";"Duplicitná objednávka"},MOD(CODE(LEFT(A373,1))+LEN(A373),7)+1),"")</f>
        <v/>
      </c>
    </row>
    <row r="374" spans="1:12" x14ac:dyDescent="0.3">
      <c r="A374" s="2" t="s">
        <v>721</v>
      </c>
      <c r="B374" s="2" t="s">
        <v>274</v>
      </c>
      <c r="C374" s="2" t="s">
        <v>318</v>
      </c>
      <c r="D374" s="2">
        <v>1</v>
      </c>
      <c r="E374" s="4">
        <f>VLOOKUP(C374,Products!$A:$E,4,FALSE())</f>
        <v>29.99</v>
      </c>
      <c r="F374" s="8">
        <v>0.15</v>
      </c>
      <c r="G374" s="4">
        <f t="shared" si="20"/>
        <v>25.491499999999998</v>
      </c>
      <c r="H374" s="4">
        <f>VLOOKUP(C374,Products!$A:$E,5,FALSE())</f>
        <v>13</v>
      </c>
      <c r="I374" s="4">
        <f t="shared" si="21"/>
        <v>25.491499999999998</v>
      </c>
      <c r="J374" s="4">
        <f t="shared" si="22"/>
        <v>12.491499999999998</v>
      </c>
      <c r="K374" s="9">
        <f t="shared" si="23"/>
        <v>0.49002608712708157</v>
      </c>
      <c r="L374" s="2" t="str">
        <f>IF(VLOOKUP(B374,Orders!$A:$D,4,FALSE())="Vrátená",INDEX({"Nevyhovujúca veľkosť";"Poškodený tovar pri doprave";"Produkt nezodpovedal popisu";"Zákazník zmenil názor";"Neskoré doručenie";"Chybný/vadný kus";"Duplicitná objednávka"},MOD(CODE(LEFT(A374,1))+LEN(A374),7)+1),"")</f>
        <v/>
      </c>
    </row>
    <row r="375" spans="1:12" x14ac:dyDescent="0.3">
      <c r="A375" s="5" t="s">
        <v>722</v>
      </c>
      <c r="B375" s="5" t="s">
        <v>275</v>
      </c>
      <c r="C375" s="5" t="s">
        <v>330</v>
      </c>
      <c r="D375" s="5">
        <v>1</v>
      </c>
      <c r="E375" s="7">
        <f>VLOOKUP(C375,Products!$A:$E,4,FALSE())</f>
        <v>14.99</v>
      </c>
      <c r="F375" s="10">
        <v>0</v>
      </c>
      <c r="G375" s="7">
        <f t="shared" si="20"/>
        <v>14.99</v>
      </c>
      <c r="H375" s="7">
        <f>VLOOKUP(C375,Products!$A:$E,5,FALSE())</f>
        <v>5.5</v>
      </c>
      <c r="I375" s="7">
        <f t="shared" si="21"/>
        <v>14.99</v>
      </c>
      <c r="J375" s="7">
        <f t="shared" si="22"/>
        <v>9.49</v>
      </c>
      <c r="K375" s="11">
        <f t="shared" si="23"/>
        <v>0.63308872581721143</v>
      </c>
      <c r="L375" s="5" t="str">
        <f>IF(VLOOKUP(B375,Orders!$A:$D,4,FALSE())="Vrátená",INDEX({"Nevyhovujúca veľkosť";"Poškodený tovar pri doprave";"Produkt nezodpovedal popisu";"Zákazník zmenil názor";"Neskoré doručenie";"Chybný/vadný kus";"Duplicitná objednávka"},MOD(CODE(LEFT(A375,1))+LEN(A375),7)+1),"")</f>
        <v/>
      </c>
    </row>
    <row r="376" spans="1:12" x14ac:dyDescent="0.3">
      <c r="A376" s="2" t="s">
        <v>723</v>
      </c>
      <c r="B376" s="2" t="s">
        <v>275</v>
      </c>
      <c r="C376" s="2" t="s">
        <v>484</v>
      </c>
      <c r="D376" s="2">
        <v>2</v>
      </c>
      <c r="E376" s="4">
        <f>VLOOKUP(C376,Products!$A:$E,4,FALSE())</f>
        <v>19.989999999999998</v>
      </c>
      <c r="F376" s="8">
        <v>0.05</v>
      </c>
      <c r="G376" s="4">
        <f t="shared" si="20"/>
        <v>18.990499999999997</v>
      </c>
      <c r="H376" s="4">
        <f>VLOOKUP(C376,Products!$A:$E,5,FALSE())</f>
        <v>7</v>
      </c>
      <c r="I376" s="4">
        <f t="shared" si="21"/>
        <v>37.980999999999995</v>
      </c>
      <c r="J376" s="4">
        <f t="shared" si="22"/>
        <v>23.980999999999995</v>
      </c>
      <c r="K376" s="9">
        <f t="shared" si="23"/>
        <v>0.63139464469076634</v>
      </c>
      <c r="L376" s="2" t="str">
        <f>IF(VLOOKUP(B376,Orders!$A:$D,4,FALSE())="Vrátená",INDEX({"Nevyhovujúca veľkosť";"Poškodený tovar pri doprave";"Produkt nezodpovedal popisu";"Zákazník zmenil názor";"Neskoré doručenie";"Chybný/vadný kus";"Duplicitná objednávka"},MOD(CODE(LEFT(A376,1))+LEN(A376),7)+1),"")</f>
        <v/>
      </c>
    </row>
    <row r="377" spans="1:12" x14ac:dyDescent="0.3">
      <c r="A377" s="5" t="s">
        <v>724</v>
      </c>
      <c r="B377" s="5" t="s">
        <v>276</v>
      </c>
      <c r="C377" s="5" t="s">
        <v>367</v>
      </c>
      <c r="D377" s="5">
        <v>1</v>
      </c>
      <c r="E377" s="7">
        <f>VLOOKUP(C377,Products!$A:$E,4,FALSE())</f>
        <v>24.99</v>
      </c>
      <c r="F377" s="10">
        <v>0</v>
      </c>
      <c r="G377" s="7">
        <f t="shared" si="20"/>
        <v>24.99</v>
      </c>
      <c r="H377" s="7">
        <f>VLOOKUP(C377,Products!$A:$E,5,FALSE())</f>
        <v>9.5</v>
      </c>
      <c r="I377" s="7">
        <f t="shared" si="21"/>
        <v>24.99</v>
      </c>
      <c r="J377" s="7">
        <f t="shared" si="22"/>
        <v>15.489999999999998</v>
      </c>
      <c r="K377" s="11">
        <f t="shared" si="23"/>
        <v>0.61984793917567027</v>
      </c>
      <c r="L377" s="5" t="str">
        <f>IF(VLOOKUP(B377,Orders!$A:$D,4,FALSE())="Vrátená",INDEX({"Nevyhovujúca veľkosť";"Poškodený tovar pri doprave";"Produkt nezodpovedal popisu";"Zákazník zmenil názor";"Neskoré doručenie";"Chybný/vadný kus";"Duplicitná objednávka"},MOD(CODE(LEFT(A377,1))+LEN(A377),7)+1),"")</f>
        <v/>
      </c>
    </row>
    <row r="378" spans="1:12" x14ac:dyDescent="0.3">
      <c r="A378" s="2" t="s">
        <v>725</v>
      </c>
      <c r="B378" s="2" t="s">
        <v>277</v>
      </c>
      <c r="C378" s="2" t="s">
        <v>386</v>
      </c>
      <c r="D378" s="2">
        <v>3</v>
      </c>
      <c r="E378" s="4">
        <f>VLOOKUP(C378,Products!$A:$E,4,FALSE())</f>
        <v>64.989999999999995</v>
      </c>
      <c r="F378" s="8">
        <v>0.2</v>
      </c>
      <c r="G378" s="4">
        <f t="shared" si="20"/>
        <v>51.991999999999997</v>
      </c>
      <c r="H378" s="4">
        <f>VLOOKUP(C378,Products!$A:$E,5,FALSE())</f>
        <v>28</v>
      </c>
      <c r="I378" s="4">
        <f t="shared" si="21"/>
        <v>155.976</v>
      </c>
      <c r="J378" s="4">
        <f t="shared" si="22"/>
        <v>71.975999999999999</v>
      </c>
      <c r="K378" s="9">
        <f t="shared" si="23"/>
        <v>0.46145560855516232</v>
      </c>
      <c r="L378" s="2" t="str">
        <f>IF(VLOOKUP(B378,Orders!$A:$D,4,FALSE())="Vrátená",INDEX({"Nevyhovujúca veľkosť";"Poškodený tovar pri doprave";"Produkt nezodpovedal popisu";"Zákazník zmenil názor";"Neskoré doručenie";"Chybný/vadný kus";"Duplicitná objednávka"},MOD(CODE(LEFT(A378,1))+LEN(A378),7)+1),"")</f>
        <v/>
      </c>
    </row>
    <row r="379" spans="1:12" x14ac:dyDescent="0.3">
      <c r="A379" s="5" t="s">
        <v>726</v>
      </c>
      <c r="B379" s="5" t="s">
        <v>277</v>
      </c>
      <c r="C379" s="5" t="s">
        <v>501</v>
      </c>
      <c r="D379" s="5">
        <v>1</v>
      </c>
      <c r="E379" s="7">
        <f>VLOOKUP(C379,Products!$A:$E,4,FALSE())</f>
        <v>94.99</v>
      </c>
      <c r="F379" s="10">
        <v>0</v>
      </c>
      <c r="G379" s="7">
        <f t="shared" si="20"/>
        <v>94.99</v>
      </c>
      <c r="H379" s="7">
        <f>VLOOKUP(C379,Products!$A:$E,5,FALSE())</f>
        <v>42</v>
      </c>
      <c r="I379" s="7">
        <f t="shared" si="21"/>
        <v>94.99</v>
      </c>
      <c r="J379" s="7">
        <f t="shared" si="22"/>
        <v>52.989999999999995</v>
      </c>
      <c r="K379" s="11">
        <f t="shared" si="23"/>
        <v>0.55784819454679435</v>
      </c>
      <c r="L379" s="5" t="str">
        <f>IF(VLOOKUP(B379,Orders!$A:$D,4,FALSE())="Vrátená",INDEX({"Nevyhovujúca veľkosť";"Poškodený tovar pri doprave";"Produkt nezodpovedal popisu";"Zákazník zmenil názor";"Neskoré doručenie";"Chybný/vadný kus";"Duplicitná objednávka"},MOD(CODE(LEFT(A379,1))+LEN(A379),7)+1),"")</f>
        <v/>
      </c>
    </row>
    <row r="380" spans="1:12" x14ac:dyDescent="0.3">
      <c r="A380" s="2" t="s">
        <v>727</v>
      </c>
      <c r="B380" s="2" t="s">
        <v>277</v>
      </c>
      <c r="C380" s="2" t="s">
        <v>324</v>
      </c>
      <c r="D380" s="2">
        <v>4</v>
      </c>
      <c r="E380" s="4">
        <f>VLOOKUP(C380,Products!$A:$E,4,FALSE())</f>
        <v>13.99</v>
      </c>
      <c r="F380" s="8">
        <v>0</v>
      </c>
      <c r="G380" s="4">
        <f t="shared" si="20"/>
        <v>13.99</v>
      </c>
      <c r="H380" s="4">
        <f>VLOOKUP(C380,Products!$A:$E,5,FALSE())</f>
        <v>5</v>
      </c>
      <c r="I380" s="4">
        <f t="shared" si="21"/>
        <v>55.96</v>
      </c>
      <c r="J380" s="4">
        <f t="shared" si="22"/>
        <v>35.96</v>
      </c>
      <c r="K380" s="9">
        <f t="shared" si="23"/>
        <v>0.64260185847033591</v>
      </c>
      <c r="L380" s="2" t="str">
        <f>IF(VLOOKUP(B380,Orders!$A:$D,4,FALSE())="Vrátená",INDEX({"Nevyhovujúca veľkosť";"Poškodený tovar pri doprave";"Produkt nezodpovedal popisu";"Zákazník zmenil názor";"Neskoré doručenie";"Chybný/vadný kus";"Duplicitná objednávka"},MOD(CODE(LEFT(A380,1))+LEN(A380),7)+1),"")</f>
        <v/>
      </c>
    </row>
    <row r="381" spans="1:12" x14ac:dyDescent="0.3">
      <c r="A381" s="5" t="s">
        <v>728</v>
      </c>
      <c r="B381" s="5" t="s">
        <v>278</v>
      </c>
      <c r="C381" s="5" t="s">
        <v>367</v>
      </c>
      <c r="D381" s="5">
        <v>3</v>
      </c>
      <c r="E381" s="7">
        <f>VLOOKUP(C381,Products!$A:$E,4,FALSE())</f>
        <v>24.99</v>
      </c>
      <c r="F381" s="10">
        <v>0.05</v>
      </c>
      <c r="G381" s="7">
        <f t="shared" si="20"/>
        <v>23.740499999999997</v>
      </c>
      <c r="H381" s="7">
        <f>VLOOKUP(C381,Products!$A:$E,5,FALSE())</f>
        <v>9.5</v>
      </c>
      <c r="I381" s="7">
        <f t="shared" si="21"/>
        <v>71.221499999999992</v>
      </c>
      <c r="J381" s="7">
        <f t="shared" si="22"/>
        <v>42.721499999999992</v>
      </c>
      <c r="K381" s="11">
        <f t="shared" si="23"/>
        <v>0.59983993597438967</v>
      </c>
      <c r="L381" s="5" t="str">
        <f>IF(VLOOKUP(B381,Orders!$A:$D,4,FALSE())="Vrátená",INDEX({"Nevyhovujúca veľkosť";"Poškodený tovar pri doprave";"Produkt nezodpovedal popisu";"Zákazník zmenil názor";"Neskoré doručenie";"Chybný/vadný kus";"Duplicitná objednávka"},MOD(CODE(LEFT(A381,1))+LEN(A381),7)+1),"")</f>
        <v/>
      </c>
    </row>
    <row r="382" spans="1:12" x14ac:dyDescent="0.3">
      <c r="A382" s="2" t="s">
        <v>729</v>
      </c>
      <c r="B382" s="2" t="s">
        <v>279</v>
      </c>
      <c r="C382" s="2" t="s">
        <v>422</v>
      </c>
      <c r="D382" s="2">
        <v>1</v>
      </c>
      <c r="E382" s="4">
        <f>VLOOKUP(C382,Products!$A:$E,4,FALSE())</f>
        <v>49.99</v>
      </c>
      <c r="F382" s="8">
        <v>0.05</v>
      </c>
      <c r="G382" s="4">
        <f t="shared" si="20"/>
        <v>47.490499999999997</v>
      </c>
      <c r="H382" s="4">
        <f>VLOOKUP(C382,Products!$A:$E,5,FALSE())</f>
        <v>20</v>
      </c>
      <c r="I382" s="4">
        <f t="shared" si="21"/>
        <v>47.490499999999997</v>
      </c>
      <c r="J382" s="4">
        <f t="shared" si="22"/>
        <v>27.490499999999997</v>
      </c>
      <c r="K382" s="9">
        <f t="shared" si="23"/>
        <v>0.57886314104926251</v>
      </c>
      <c r="L382" s="2" t="str">
        <f>IF(VLOOKUP(B382,Orders!$A:$D,4,FALSE())="Vrátená",INDEX({"Nevyhovujúca veľkosť";"Poškodený tovar pri doprave";"Produkt nezodpovedal popisu";"Zákazník zmenil názor";"Neskoré doručenie";"Chybný/vadný kus";"Duplicitná objednávka"},MOD(CODE(LEFT(A382,1))+LEN(A382),7)+1),"")</f>
        <v/>
      </c>
    </row>
    <row r="383" spans="1:12" x14ac:dyDescent="0.3">
      <c r="A383" s="5" t="s">
        <v>730</v>
      </c>
      <c r="B383" s="5" t="s">
        <v>280</v>
      </c>
      <c r="C383" s="5" t="s">
        <v>361</v>
      </c>
      <c r="D383" s="5">
        <v>1</v>
      </c>
      <c r="E383" s="7">
        <f>VLOOKUP(C383,Products!$A:$E,4,FALSE())</f>
        <v>27.49</v>
      </c>
      <c r="F383" s="10">
        <v>0</v>
      </c>
      <c r="G383" s="7">
        <f t="shared" si="20"/>
        <v>27.49</v>
      </c>
      <c r="H383" s="7">
        <f>VLOOKUP(C383,Products!$A:$E,5,FALSE())</f>
        <v>11</v>
      </c>
      <c r="I383" s="7">
        <f t="shared" si="21"/>
        <v>27.49</v>
      </c>
      <c r="J383" s="7">
        <f t="shared" si="22"/>
        <v>16.489999999999998</v>
      </c>
      <c r="K383" s="11">
        <f t="shared" si="23"/>
        <v>0.59985449254274281</v>
      </c>
      <c r="L383" s="5" t="str">
        <f>IF(VLOOKUP(B383,Orders!$A:$D,4,FALSE())="Vrátená",INDEX({"Nevyhovujúca veľkosť";"Poškodený tovar pri doprave";"Produkt nezodpovedal popisu";"Zákazník zmenil názor";"Neskoré doručenie";"Chybný/vadný kus";"Duplicitná objednávka"},MOD(CODE(LEFT(A383,1))+LEN(A383),7)+1),"")</f>
        <v/>
      </c>
    </row>
    <row r="384" spans="1:12" x14ac:dyDescent="0.3">
      <c r="A384" s="2" t="s">
        <v>731</v>
      </c>
      <c r="B384" s="2" t="s">
        <v>280</v>
      </c>
      <c r="C384" s="2" t="s">
        <v>398</v>
      </c>
      <c r="D384" s="2">
        <v>2</v>
      </c>
      <c r="E384" s="4">
        <f>VLOOKUP(C384,Products!$A:$E,4,FALSE())</f>
        <v>22.49</v>
      </c>
      <c r="F384" s="8">
        <v>0.05</v>
      </c>
      <c r="G384" s="4">
        <f t="shared" si="20"/>
        <v>21.365499999999997</v>
      </c>
      <c r="H384" s="4">
        <f>VLOOKUP(C384,Products!$A:$E,5,FALSE())</f>
        <v>8.5</v>
      </c>
      <c r="I384" s="4">
        <f t="shared" si="21"/>
        <v>42.730999999999995</v>
      </c>
      <c r="J384" s="4">
        <f t="shared" si="22"/>
        <v>25.730999999999995</v>
      </c>
      <c r="K384" s="9">
        <f t="shared" si="23"/>
        <v>0.6021623645596873</v>
      </c>
      <c r="L384" s="2" t="str">
        <f>IF(VLOOKUP(B384,Orders!$A:$D,4,FALSE())="Vrátená",INDEX({"Nevyhovujúca veľkosť";"Poškodený tovar pri doprave";"Produkt nezodpovedal popisu";"Zákazník zmenil názor";"Neskoré doručenie";"Chybný/vadný kus";"Duplicitná objednávka"},MOD(CODE(LEFT(A384,1))+LEN(A384),7)+1),"")</f>
        <v/>
      </c>
    </row>
    <row r="385" spans="1:12" x14ac:dyDescent="0.3">
      <c r="A385" s="5" t="s">
        <v>732</v>
      </c>
      <c r="B385" s="5" t="s">
        <v>282</v>
      </c>
      <c r="C385" s="5" t="s">
        <v>349</v>
      </c>
      <c r="D385" s="5">
        <v>2</v>
      </c>
      <c r="E385" s="7">
        <f>VLOOKUP(C385,Products!$A:$E,4,FALSE())</f>
        <v>24.99</v>
      </c>
      <c r="F385" s="10">
        <v>0.15</v>
      </c>
      <c r="G385" s="7">
        <f t="shared" si="20"/>
        <v>21.241499999999998</v>
      </c>
      <c r="H385" s="7">
        <f>VLOOKUP(C385,Products!$A:$E,5,FALSE())</f>
        <v>10.5</v>
      </c>
      <c r="I385" s="7">
        <f t="shared" si="21"/>
        <v>42.482999999999997</v>
      </c>
      <c r="J385" s="7">
        <f t="shared" si="22"/>
        <v>21.482999999999997</v>
      </c>
      <c r="K385" s="11">
        <f t="shared" si="23"/>
        <v>0.50568462679189319</v>
      </c>
      <c r="L385" s="5" t="str">
        <f>IF(VLOOKUP(B385,Orders!$A:$D,4,FALSE())="Vrátená",INDEX({"Nevyhovujúca veľkosť";"Poškodený tovar pri doprave";"Produkt nezodpovedal popisu";"Zákazník zmenil názor";"Neskoré doručenie";"Chybný/vadný kus";"Duplicitná objednávka"},MOD(CODE(LEFT(A385,1))+LEN(A385),7)+1),"")</f>
        <v/>
      </c>
    </row>
    <row r="386" spans="1:12" x14ac:dyDescent="0.3">
      <c r="A386" s="2" t="s">
        <v>733</v>
      </c>
      <c r="B386" s="2" t="s">
        <v>282</v>
      </c>
      <c r="C386" s="2" t="s">
        <v>386</v>
      </c>
      <c r="D386" s="2">
        <v>1</v>
      </c>
      <c r="E386" s="4">
        <f>VLOOKUP(C386,Products!$A:$E,4,FALSE())</f>
        <v>64.989999999999995</v>
      </c>
      <c r="F386" s="8">
        <v>0</v>
      </c>
      <c r="G386" s="4">
        <f t="shared" ref="G386:G449" si="24">E386*(1-F386)</f>
        <v>64.989999999999995</v>
      </c>
      <c r="H386" s="4">
        <f>VLOOKUP(C386,Products!$A:$E,5,FALSE())</f>
        <v>28</v>
      </c>
      <c r="I386" s="4">
        <f t="shared" ref="I386:I394" si="25">D386*G386</f>
        <v>64.989999999999995</v>
      </c>
      <c r="J386" s="4">
        <f t="shared" ref="J386:J449" si="26">I386-(D386*H386)</f>
        <v>36.989999999999995</v>
      </c>
      <c r="K386" s="9">
        <f t="shared" ref="K386:K449" si="27">IFERROR(J386/I386,0)</f>
        <v>0.56916448684412979</v>
      </c>
      <c r="L386" s="2" t="str">
        <f>IF(VLOOKUP(B386,Orders!$A:$D,4,FALSE())="Vrátená",INDEX({"Nevyhovujúca veľkosť";"Poškodený tovar pri doprave";"Produkt nezodpovedal popisu";"Zákazník zmenil názor";"Neskoré doručenie";"Chybný/vadný kus";"Duplicitná objednávka"},MOD(CODE(LEFT(A386,1))+LEN(A386),7)+1),"")</f>
        <v/>
      </c>
    </row>
    <row r="387" spans="1:12" x14ac:dyDescent="0.3">
      <c r="A387" s="5" t="s">
        <v>734</v>
      </c>
      <c r="B387" s="5" t="s">
        <v>282</v>
      </c>
      <c r="C387" s="5" t="s">
        <v>320</v>
      </c>
      <c r="D387" s="5">
        <v>5</v>
      </c>
      <c r="E387" s="7">
        <f>VLOOKUP(C387,Products!$A:$E,4,FALSE())</f>
        <v>29.99</v>
      </c>
      <c r="F387" s="10">
        <v>0.15</v>
      </c>
      <c r="G387" s="7">
        <f t="shared" si="24"/>
        <v>25.491499999999998</v>
      </c>
      <c r="H387" s="7">
        <f>VLOOKUP(C387,Products!$A:$E,5,FALSE())</f>
        <v>12</v>
      </c>
      <c r="I387" s="7">
        <f t="shared" si="25"/>
        <v>127.4575</v>
      </c>
      <c r="J387" s="7">
        <f t="shared" si="26"/>
        <v>67.457499999999996</v>
      </c>
      <c r="K387" s="11">
        <f t="shared" si="27"/>
        <v>0.52925484965576763</v>
      </c>
      <c r="L387" s="5" t="str">
        <f>IF(VLOOKUP(B387,Orders!$A:$D,4,FALSE())="Vrátená",INDEX({"Nevyhovujúca veľkosť";"Poškodený tovar pri doprave";"Produkt nezodpovedal popisu";"Zákazník zmenil názor";"Neskoré doručenie";"Chybný/vadný kus";"Duplicitná objednávka"},MOD(CODE(LEFT(A387,1))+LEN(A387),7)+1),"")</f>
        <v/>
      </c>
    </row>
    <row r="388" spans="1:12" x14ac:dyDescent="0.3">
      <c r="A388" s="2" t="s">
        <v>735</v>
      </c>
      <c r="B388" s="2" t="s">
        <v>283</v>
      </c>
      <c r="C388" s="2" t="s">
        <v>386</v>
      </c>
      <c r="D388" s="2">
        <v>3</v>
      </c>
      <c r="E388" s="4">
        <f>VLOOKUP(C388,Products!$A:$E,4,FALSE())</f>
        <v>64.989999999999995</v>
      </c>
      <c r="F388" s="8">
        <v>0.3</v>
      </c>
      <c r="G388" s="4">
        <f t="shared" si="24"/>
        <v>45.492999999999995</v>
      </c>
      <c r="H388" s="4">
        <f>VLOOKUP(C388,Products!$A:$E,5,FALSE())</f>
        <v>28</v>
      </c>
      <c r="I388" s="4">
        <f t="shared" si="25"/>
        <v>136.47899999999998</v>
      </c>
      <c r="J388" s="4">
        <f t="shared" si="26"/>
        <v>52.478999999999985</v>
      </c>
      <c r="K388" s="9">
        <f t="shared" si="27"/>
        <v>0.38452069549161405</v>
      </c>
      <c r="L388" s="2" t="str">
        <f>IF(VLOOKUP(B388,Orders!$A:$D,4,FALSE())="Vrátená",INDEX({"Nevyhovujúca veľkosť";"Poškodený tovar pri doprave";"Produkt nezodpovedal popisu";"Zákazník zmenil názor";"Neskoré doručenie";"Chybný/vadný kus";"Duplicitná objednávka"},MOD(CODE(LEFT(A388,1))+LEN(A388),7)+1),"")</f>
        <v/>
      </c>
    </row>
    <row r="389" spans="1:12" x14ac:dyDescent="0.3">
      <c r="A389" s="5" t="s">
        <v>736</v>
      </c>
      <c r="B389" s="5" t="s">
        <v>284</v>
      </c>
      <c r="C389" s="5" t="s">
        <v>334</v>
      </c>
      <c r="D389" s="5">
        <v>1</v>
      </c>
      <c r="E389" s="7">
        <f>VLOOKUP(C389,Products!$A:$E,4,FALSE())</f>
        <v>21.49</v>
      </c>
      <c r="F389" s="10">
        <v>0</v>
      </c>
      <c r="G389" s="7">
        <f t="shared" si="24"/>
        <v>21.49</v>
      </c>
      <c r="H389" s="7">
        <f>VLOOKUP(C389,Products!$A:$E,5,FALSE())</f>
        <v>8</v>
      </c>
      <c r="I389" s="7">
        <f t="shared" si="25"/>
        <v>21.49</v>
      </c>
      <c r="J389" s="7">
        <f t="shared" si="26"/>
        <v>13.489999999999998</v>
      </c>
      <c r="K389" s="11">
        <f t="shared" si="27"/>
        <v>0.62773382968822711</v>
      </c>
      <c r="L389" s="5" t="str">
        <f>IF(VLOOKUP(B389,Orders!$A:$D,4,FALSE())="Vrátená",INDEX({"Nevyhovujúca veľkosť";"Poškodený tovar pri doprave";"Produkt nezodpovedal popisu";"Zákazník zmenil názor";"Neskoré doručenie";"Chybný/vadný kus";"Duplicitná objednávka"},MOD(CODE(LEFT(A389,1))+LEN(A389),7)+1),"")</f>
        <v/>
      </c>
    </row>
    <row r="390" spans="1:12" x14ac:dyDescent="0.3">
      <c r="A390" s="2" t="s">
        <v>737</v>
      </c>
      <c r="B390" s="2" t="s">
        <v>284</v>
      </c>
      <c r="C390" s="2" t="s">
        <v>332</v>
      </c>
      <c r="D390" s="2">
        <v>2</v>
      </c>
      <c r="E390" s="4">
        <f>VLOOKUP(C390,Products!$A:$E,4,FALSE())</f>
        <v>14.99</v>
      </c>
      <c r="F390" s="8">
        <v>0</v>
      </c>
      <c r="G390" s="4">
        <f t="shared" si="24"/>
        <v>14.99</v>
      </c>
      <c r="H390" s="4">
        <f>VLOOKUP(C390,Products!$A:$E,5,FALSE())</f>
        <v>5</v>
      </c>
      <c r="I390" s="4">
        <f t="shared" si="25"/>
        <v>29.98</v>
      </c>
      <c r="J390" s="4">
        <f t="shared" si="26"/>
        <v>19.98</v>
      </c>
      <c r="K390" s="9">
        <f t="shared" si="27"/>
        <v>0.66644429619746504</v>
      </c>
      <c r="L390" s="2" t="str">
        <f>IF(VLOOKUP(B390,Orders!$A:$D,4,FALSE())="Vrátená",INDEX({"Nevyhovujúca veľkosť";"Poškodený tovar pri doprave";"Produkt nezodpovedal popisu";"Zákazník zmenil názor";"Neskoré doručenie";"Chybný/vadný kus";"Duplicitná objednávka"},MOD(CODE(LEFT(A390,1))+LEN(A390),7)+1),"")</f>
        <v/>
      </c>
    </row>
    <row r="391" spans="1:12" x14ac:dyDescent="0.3">
      <c r="A391" s="5" t="s">
        <v>738</v>
      </c>
      <c r="B391" s="5" t="s">
        <v>285</v>
      </c>
      <c r="C391" s="5" t="s">
        <v>426</v>
      </c>
      <c r="D391" s="5">
        <v>2</v>
      </c>
      <c r="E391" s="7">
        <f>VLOOKUP(C391,Products!$A:$E,4,FALSE())</f>
        <v>6.99</v>
      </c>
      <c r="F391" s="10">
        <v>0</v>
      </c>
      <c r="G391" s="7">
        <f t="shared" si="24"/>
        <v>6.99</v>
      </c>
      <c r="H391" s="7">
        <f>VLOOKUP(C391,Products!$A:$E,5,FALSE())</f>
        <v>2</v>
      </c>
      <c r="I391" s="7">
        <f t="shared" si="25"/>
        <v>13.98</v>
      </c>
      <c r="J391" s="7">
        <f t="shared" si="26"/>
        <v>9.98</v>
      </c>
      <c r="K391" s="11">
        <f t="shared" si="27"/>
        <v>0.71387696709585124</v>
      </c>
      <c r="L391" s="5" t="str">
        <f>IF(VLOOKUP(B391,Orders!$A:$D,4,FALSE())="Vrátená",INDEX({"Nevyhovujúca veľkosť";"Poškodený tovar pri doprave";"Produkt nezodpovedal popisu";"Zákazník zmenil názor";"Neskoré doručenie";"Chybný/vadný kus";"Duplicitná objednávka"},MOD(CODE(LEFT(A391,1))+LEN(A391),7)+1),"")</f>
        <v/>
      </c>
    </row>
    <row r="392" spans="1:12" x14ac:dyDescent="0.3">
      <c r="A392" s="2" t="s">
        <v>739</v>
      </c>
      <c r="B392" s="2" t="s">
        <v>286</v>
      </c>
      <c r="C392" s="2" t="s">
        <v>332</v>
      </c>
      <c r="D392" s="2">
        <v>1</v>
      </c>
      <c r="E392" s="4">
        <f>VLOOKUP(C392,Products!$A:$E,4,FALSE())</f>
        <v>14.99</v>
      </c>
      <c r="F392" s="8">
        <v>0.05</v>
      </c>
      <c r="G392" s="4">
        <f t="shared" si="24"/>
        <v>14.240499999999999</v>
      </c>
      <c r="H392" s="4">
        <f>VLOOKUP(C392,Products!$A:$E,5,FALSE())</f>
        <v>5</v>
      </c>
      <c r="I392" s="4">
        <f t="shared" si="25"/>
        <v>14.240499999999999</v>
      </c>
      <c r="J392" s="4">
        <f t="shared" si="26"/>
        <v>9.240499999999999</v>
      </c>
      <c r="K392" s="9">
        <f t="shared" si="27"/>
        <v>0.64888873283943682</v>
      </c>
      <c r="L392" s="2" t="str">
        <f>IF(VLOOKUP(B392,Orders!$A:$D,4,FALSE())="Vrátená",INDEX({"Nevyhovujúca veľkosť";"Poškodený tovar pri doprave";"Produkt nezodpovedal popisu";"Zákazník zmenil názor";"Neskoré doručenie";"Chybný/vadný kus";"Duplicitná objednávka"},MOD(CODE(LEFT(A392,1))+LEN(A392),7)+1),"")</f>
        <v/>
      </c>
    </row>
    <row r="393" spans="1:12" x14ac:dyDescent="0.3">
      <c r="A393" s="5" t="s">
        <v>740</v>
      </c>
      <c r="B393" s="5" t="s">
        <v>286</v>
      </c>
      <c r="C393" s="5" t="s">
        <v>347</v>
      </c>
      <c r="D393" s="5">
        <v>1</v>
      </c>
      <c r="E393" s="7">
        <f>VLOOKUP(C393,Products!$A:$E,4,FALSE())</f>
        <v>18.989999999999998</v>
      </c>
      <c r="F393" s="10">
        <v>0.05</v>
      </c>
      <c r="G393" s="7">
        <f t="shared" si="24"/>
        <v>18.040499999999998</v>
      </c>
      <c r="H393" s="7">
        <f>VLOOKUP(C393,Products!$A:$E,5,FALSE())</f>
        <v>7.5</v>
      </c>
      <c r="I393" s="7">
        <f t="shared" si="25"/>
        <v>18.040499999999998</v>
      </c>
      <c r="J393" s="7">
        <f t="shared" si="26"/>
        <v>10.540499999999998</v>
      </c>
      <c r="K393" s="11">
        <f t="shared" si="27"/>
        <v>0.58426872869377233</v>
      </c>
      <c r="L393" s="5" t="str">
        <f>IF(VLOOKUP(B393,Orders!$A:$D,4,FALSE())="Vrátená",INDEX({"Nevyhovujúca veľkosť";"Poškodený tovar pri doprave";"Produkt nezodpovedal popisu";"Zákazník zmenil názor";"Neskoré doručenie";"Chybný/vadný kus";"Duplicitná objednávka"},MOD(CODE(LEFT(A393,1))+LEN(A393),7)+1),"")</f>
        <v/>
      </c>
    </row>
    <row r="394" spans="1:12" x14ac:dyDescent="0.3">
      <c r="A394" s="2" t="s">
        <v>741</v>
      </c>
      <c r="B394" s="2" t="s">
        <v>287</v>
      </c>
      <c r="C394" s="2" t="s">
        <v>314</v>
      </c>
      <c r="D394" s="2">
        <v>1</v>
      </c>
      <c r="E394" s="4">
        <f>VLOOKUP(C394,Products!$A:$E,4,FALSE())</f>
        <v>54.99</v>
      </c>
      <c r="F394" s="8">
        <v>0.05</v>
      </c>
      <c r="G394" s="4">
        <f t="shared" si="24"/>
        <v>52.240499999999997</v>
      </c>
      <c r="H394" s="4">
        <f>VLOOKUP(C394,Products!$A:$E,5,FALSE())</f>
        <v>26</v>
      </c>
      <c r="I394" s="4">
        <f t="shared" si="25"/>
        <v>52.240499999999997</v>
      </c>
      <c r="J394" s="4">
        <f t="shared" si="26"/>
        <v>26.240499999999997</v>
      </c>
      <c r="K394" s="9">
        <f t="shared" si="27"/>
        <v>0.50230185392559412</v>
      </c>
      <c r="L394" s="2" t="str">
        <f>IF(VLOOKUP(B394,Orders!$A:$D,4,FALSE())="Vrátená",INDEX({"Nevyhovujúca veľkosť";"Poškodený tovar pri doprave";"Produkt nezodpovedal popisu";"Zákazník zmenil názor";"Neskoré doručenie";"Chybný/vadný kus";"Duplicitná objednávka"},MOD(CODE(LEFT(A394,1))+LEN(A394),7)+1),"")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6" customWidth="1"/>
    <col min="3" max="3" width="13" customWidth="1"/>
    <col min="4" max="4" width="15" customWidth="1"/>
    <col min="5" max="5" width="12" customWidth="1"/>
  </cols>
  <sheetData>
    <row r="1" spans="1:5" ht="27.6" x14ac:dyDescent="0.3">
      <c r="A1" s="1" t="s">
        <v>289</v>
      </c>
      <c r="B1" s="1" t="s">
        <v>742</v>
      </c>
      <c r="C1" s="1" t="s">
        <v>743</v>
      </c>
      <c r="D1" s="1" t="s">
        <v>744</v>
      </c>
      <c r="E1" s="1" t="s">
        <v>294</v>
      </c>
    </row>
    <row r="2" spans="1:5" x14ac:dyDescent="0.3">
      <c r="A2" s="2" t="s">
        <v>461</v>
      </c>
      <c r="B2" s="2" t="s">
        <v>745</v>
      </c>
      <c r="C2" s="2" t="s">
        <v>746</v>
      </c>
      <c r="D2" s="4">
        <v>64.989999999999995</v>
      </c>
      <c r="E2" s="4">
        <v>32</v>
      </c>
    </row>
    <row r="3" spans="1:5" x14ac:dyDescent="0.3">
      <c r="A3" s="5" t="s">
        <v>357</v>
      </c>
      <c r="B3" s="5" t="s">
        <v>747</v>
      </c>
      <c r="C3" s="5" t="s">
        <v>746</v>
      </c>
      <c r="D3" s="7">
        <v>13.99</v>
      </c>
      <c r="E3" s="7">
        <v>5.5</v>
      </c>
    </row>
    <row r="4" spans="1:5" x14ac:dyDescent="0.3">
      <c r="A4" s="2" t="s">
        <v>355</v>
      </c>
      <c r="B4" s="2" t="s">
        <v>748</v>
      </c>
      <c r="C4" s="2" t="s">
        <v>746</v>
      </c>
      <c r="D4" s="4">
        <v>27.99</v>
      </c>
      <c r="E4" s="4">
        <v>12</v>
      </c>
    </row>
    <row r="5" spans="1:5" x14ac:dyDescent="0.3">
      <c r="A5" s="5" t="s">
        <v>435</v>
      </c>
      <c r="B5" s="5" t="s">
        <v>749</v>
      </c>
      <c r="C5" s="5" t="s">
        <v>746</v>
      </c>
      <c r="D5" s="7">
        <v>7.49</v>
      </c>
      <c r="E5" s="7">
        <v>2.2000000000000002</v>
      </c>
    </row>
    <row r="6" spans="1:5" x14ac:dyDescent="0.3">
      <c r="A6" s="2" t="s">
        <v>304</v>
      </c>
      <c r="B6" s="2" t="s">
        <v>750</v>
      </c>
      <c r="C6" s="2" t="s">
        <v>746</v>
      </c>
      <c r="D6" s="4">
        <v>42.99</v>
      </c>
      <c r="E6" s="4">
        <v>19.5</v>
      </c>
    </row>
    <row r="7" spans="1:5" x14ac:dyDescent="0.3">
      <c r="A7" s="5" t="s">
        <v>322</v>
      </c>
      <c r="B7" s="5" t="s">
        <v>751</v>
      </c>
      <c r="C7" s="5" t="s">
        <v>746</v>
      </c>
      <c r="D7" s="7">
        <v>104.99</v>
      </c>
      <c r="E7" s="7">
        <v>55</v>
      </c>
    </row>
    <row r="8" spans="1:5" x14ac:dyDescent="0.3">
      <c r="A8" s="2" t="s">
        <v>361</v>
      </c>
      <c r="B8" s="2" t="s">
        <v>752</v>
      </c>
      <c r="C8" s="2" t="s">
        <v>746</v>
      </c>
      <c r="D8" s="4">
        <v>27.49</v>
      </c>
      <c r="E8" s="4">
        <v>11</v>
      </c>
    </row>
    <row r="9" spans="1:5" x14ac:dyDescent="0.3">
      <c r="A9" s="5" t="s">
        <v>314</v>
      </c>
      <c r="B9" s="5" t="s">
        <v>753</v>
      </c>
      <c r="C9" s="5" t="s">
        <v>746</v>
      </c>
      <c r="D9" s="7">
        <v>54.99</v>
      </c>
      <c r="E9" s="7">
        <v>26</v>
      </c>
    </row>
    <row r="10" spans="1:5" x14ac:dyDescent="0.3">
      <c r="A10" s="2" t="s">
        <v>306</v>
      </c>
      <c r="B10" s="2" t="s">
        <v>754</v>
      </c>
      <c r="C10" s="2" t="s">
        <v>746</v>
      </c>
      <c r="D10" s="4">
        <v>34.99</v>
      </c>
      <c r="E10" s="4">
        <v>15</v>
      </c>
    </row>
    <row r="11" spans="1:5" x14ac:dyDescent="0.3">
      <c r="A11" s="5" t="s">
        <v>352</v>
      </c>
      <c r="B11" s="5" t="s">
        <v>755</v>
      </c>
      <c r="C11" s="5" t="s">
        <v>746</v>
      </c>
      <c r="D11" s="7">
        <v>189.99</v>
      </c>
      <c r="E11" s="7">
        <v>110</v>
      </c>
    </row>
    <row r="12" spans="1:5" x14ac:dyDescent="0.3">
      <c r="A12" s="2" t="s">
        <v>310</v>
      </c>
      <c r="B12" s="2" t="s">
        <v>756</v>
      </c>
      <c r="C12" s="2" t="s">
        <v>757</v>
      </c>
      <c r="D12" s="4">
        <v>34.99</v>
      </c>
      <c r="E12" s="4">
        <v>14</v>
      </c>
    </row>
    <row r="13" spans="1:5" x14ac:dyDescent="0.3">
      <c r="A13" s="5" t="s">
        <v>347</v>
      </c>
      <c r="B13" s="5" t="s">
        <v>758</v>
      </c>
      <c r="C13" s="5" t="s">
        <v>757</v>
      </c>
      <c r="D13" s="7">
        <v>18.989999999999998</v>
      </c>
      <c r="E13" s="7">
        <v>7.5</v>
      </c>
    </row>
    <row r="14" spans="1:5" x14ac:dyDescent="0.3">
      <c r="A14" s="2" t="s">
        <v>332</v>
      </c>
      <c r="B14" s="2" t="s">
        <v>759</v>
      </c>
      <c r="C14" s="2" t="s">
        <v>757</v>
      </c>
      <c r="D14" s="4">
        <v>14.99</v>
      </c>
      <c r="E14" s="4">
        <v>5</v>
      </c>
    </row>
    <row r="15" spans="1:5" x14ac:dyDescent="0.3">
      <c r="A15" s="5" t="s">
        <v>328</v>
      </c>
      <c r="B15" s="5" t="s">
        <v>760</v>
      </c>
      <c r="C15" s="5" t="s">
        <v>757</v>
      </c>
      <c r="D15" s="7">
        <v>7.49</v>
      </c>
      <c r="E15" s="7">
        <v>2</v>
      </c>
    </row>
    <row r="16" spans="1:5" x14ac:dyDescent="0.3">
      <c r="A16" s="2" t="s">
        <v>308</v>
      </c>
      <c r="B16" s="2" t="s">
        <v>761</v>
      </c>
      <c r="C16" s="2" t="s">
        <v>757</v>
      </c>
      <c r="D16" s="4">
        <v>22.49</v>
      </c>
      <c r="E16" s="4">
        <v>9</v>
      </c>
    </row>
    <row r="17" spans="1:5" x14ac:dyDescent="0.3">
      <c r="A17" s="5" t="s">
        <v>517</v>
      </c>
      <c r="B17" s="5" t="s">
        <v>762</v>
      </c>
      <c r="C17" s="5" t="s">
        <v>757</v>
      </c>
      <c r="D17" s="7">
        <v>26.49</v>
      </c>
      <c r="E17" s="7">
        <v>10.5</v>
      </c>
    </row>
    <row r="18" spans="1:5" x14ac:dyDescent="0.3">
      <c r="A18" s="2" t="s">
        <v>300</v>
      </c>
      <c r="B18" s="2" t="s">
        <v>763</v>
      </c>
      <c r="C18" s="2" t="s">
        <v>757</v>
      </c>
      <c r="D18" s="4">
        <v>39.99</v>
      </c>
      <c r="E18" s="4">
        <v>17</v>
      </c>
    </row>
    <row r="19" spans="1:5" x14ac:dyDescent="0.3">
      <c r="A19" s="5" t="s">
        <v>342</v>
      </c>
      <c r="B19" s="5" t="s">
        <v>764</v>
      </c>
      <c r="C19" s="5" t="s">
        <v>757</v>
      </c>
      <c r="D19" s="7">
        <v>29.99</v>
      </c>
      <c r="E19" s="7">
        <v>12.5</v>
      </c>
    </row>
    <row r="20" spans="1:5" x14ac:dyDescent="0.3">
      <c r="A20" s="2" t="s">
        <v>330</v>
      </c>
      <c r="B20" s="2" t="s">
        <v>765</v>
      </c>
      <c r="C20" s="2" t="s">
        <v>766</v>
      </c>
      <c r="D20" s="4">
        <v>14.99</v>
      </c>
      <c r="E20" s="4">
        <v>5.5</v>
      </c>
    </row>
    <row r="21" spans="1:5" x14ac:dyDescent="0.3">
      <c r="A21" s="5" t="s">
        <v>378</v>
      </c>
      <c r="B21" s="5" t="s">
        <v>767</v>
      </c>
      <c r="C21" s="5" t="s">
        <v>766</v>
      </c>
      <c r="D21" s="7">
        <v>37.49</v>
      </c>
      <c r="E21" s="7">
        <v>15</v>
      </c>
    </row>
    <row r="22" spans="1:5" x14ac:dyDescent="0.3">
      <c r="A22" s="2" t="s">
        <v>501</v>
      </c>
      <c r="B22" s="2" t="s">
        <v>768</v>
      </c>
      <c r="C22" s="2" t="s">
        <v>766</v>
      </c>
      <c r="D22" s="4">
        <v>94.99</v>
      </c>
      <c r="E22" s="4">
        <v>42</v>
      </c>
    </row>
    <row r="23" spans="1:5" x14ac:dyDescent="0.3">
      <c r="A23" s="5" t="s">
        <v>386</v>
      </c>
      <c r="B23" s="5" t="s">
        <v>769</v>
      </c>
      <c r="C23" s="5" t="s">
        <v>766</v>
      </c>
      <c r="D23" s="7">
        <v>64.989999999999995</v>
      </c>
      <c r="E23" s="7">
        <v>28</v>
      </c>
    </row>
    <row r="24" spans="1:5" x14ac:dyDescent="0.3">
      <c r="A24" s="2" t="s">
        <v>345</v>
      </c>
      <c r="B24" s="2" t="s">
        <v>770</v>
      </c>
      <c r="C24" s="2" t="s">
        <v>766</v>
      </c>
      <c r="D24" s="4">
        <v>13.49</v>
      </c>
      <c r="E24" s="4">
        <v>4.5</v>
      </c>
    </row>
    <row r="25" spans="1:5" x14ac:dyDescent="0.3">
      <c r="A25" s="5" t="s">
        <v>382</v>
      </c>
      <c r="B25" s="5" t="s">
        <v>771</v>
      </c>
      <c r="C25" s="5" t="s">
        <v>766</v>
      </c>
      <c r="D25" s="7">
        <v>6.99</v>
      </c>
      <c r="E25" s="7">
        <v>2</v>
      </c>
    </row>
    <row r="26" spans="1:5" x14ac:dyDescent="0.3">
      <c r="A26" s="2" t="s">
        <v>340</v>
      </c>
      <c r="B26" s="2" t="s">
        <v>772</v>
      </c>
      <c r="C26" s="2" t="s">
        <v>766</v>
      </c>
      <c r="D26" s="4">
        <v>44.99</v>
      </c>
      <c r="E26" s="4">
        <v>18</v>
      </c>
    </row>
    <row r="27" spans="1:5" x14ac:dyDescent="0.3">
      <c r="A27" s="5" t="s">
        <v>439</v>
      </c>
      <c r="B27" s="5" t="s">
        <v>773</v>
      </c>
      <c r="C27" s="5" t="s">
        <v>766</v>
      </c>
      <c r="D27" s="7">
        <v>34.99</v>
      </c>
      <c r="E27" s="7">
        <v>13</v>
      </c>
    </row>
    <row r="28" spans="1:5" x14ac:dyDescent="0.3">
      <c r="A28" s="2" t="s">
        <v>398</v>
      </c>
      <c r="B28" s="2" t="s">
        <v>774</v>
      </c>
      <c r="C28" s="2" t="s">
        <v>775</v>
      </c>
      <c r="D28" s="4">
        <v>22.49</v>
      </c>
      <c r="E28" s="4">
        <v>8.5</v>
      </c>
    </row>
    <row r="29" spans="1:5" x14ac:dyDescent="0.3">
      <c r="A29" s="5" t="s">
        <v>432</v>
      </c>
      <c r="B29" s="5" t="s">
        <v>776</v>
      </c>
      <c r="C29" s="5" t="s">
        <v>775</v>
      </c>
      <c r="D29" s="7">
        <v>11.49</v>
      </c>
      <c r="E29" s="7">
        <v>3.5</v>
      </c>
    </row>
    <row r="30" spans="1:5" x14ac:dyDescent="0.3">
      <c r="A30" s="2" t="s">
        <v>464</v>
      </c>
      <c r="B30" s="2" t="s">
        <v>777</v>
      </c>
      <c r="C30" s="2" t="s">
        <v>775</v>
      </c>
      <c r="D30" s="4">
        <v>14.99</v>
      </c>
      <c r="E30" s="4">
        <v>5.5</v>
      </c>
    </row>
    <row r="31" spans="1:5" x14ac:dyDescent="0.3">
      <c r="A31" s="5" t="s">
        <v>422</v>
      </c>
      <c r="B31" s="5" t="s">
        <v>778</v>
      </c>
      <c r="C31" s="5" t="s">
        <v>775</v>
      </c>
      <c r="D31" s="7">
        <v>49.99</v>
      </c>
      <c r="E31" s="7">
        <v>20</v>
      </c>
    </row>
    <row r="32" spans="1:5" x14ac:dyDescent="0.3">
      <c r="A32" s="2" t="s">
        <v>372</v>
      </c>
      <c r="B32" s="2" t="s">
        <v>779</v>
      </c>
      <c r="C32" s="2" t="s">
        <v>775</v>
      </c>
      <c r="D32" s="4">
        <v>39.99</v>
      </c>
      <c r="E32" s="4">
        <v>17</v>
      </c>
    </row>
    <row r="33" spans="1:5" x14ac:dyDescent="0.3">
      <c r="A33" s="5" t="s">
        <v>318</v>
      </c>
      <c r="B33" s="5" t="s">
        <v>780</v>
      </c>
      <c r="C33" s="5" t="s">
        <v>775</v>
      </c>
      <c r="D33" s="7">
        <v>29.99</v>
      </c>
      <c r="E33" s="7">
        <v>13</v>
      </c>
    </row>
    <row r="34" spans="1:5" x14ac:dyDescent="0.3">
      <c r="A34" s="2" t="s">
        <v>334</v>
      </c>
      <c r="B34" s="2" t="s">
        <v>781</v>
      </c>
      <c r="C34" s="2" t="s">
        <v>782</v>
      </c>
      <c r="D34" s="4">
        <v>21.49</v>
      </c>
      <c r="E34" s="4">
        <v>8</v>
      </c>
    </row>
    <row r="35" spans="1:5" x14ac:dyDescent="0.3">
      <c r="A35" s="5" t="s">
        <v>428</v>
      </c>
      <c r="B35" s="5" t="s">
        <v>783</v>
      </c>
      <c r="C35" s="5" t="s">
        <v>782</v>
      </c>
      <c r="D35" s="7">
        <v>10.49</v>
      </c>
      <c r="E35" s="7">
        <v>3.5</v>
      </c>
    </row>
    <row r="36" spans="1:5" x14ac:dyDescent="0.3">
      <c r="A36" s="2" t="s">
        <v>367</v>
      </c>
      <c r="B36" s="2" t="s">
        <v>784</v>
      </c>
      <c r="C36" s="2" t="s">
        <v>782</v>
      </c>
      <c r="D36" s="4">
        <v>24.99</v>
      </c>
      <c r="E36" s="4">
        <v>9.5</v>
      </c>
    </row>
    <row r="37" spans="1:5" x14ac:dyDescent="0.3">
      <c r="A37" s="5" t="s">
        <v>302</v>
      </c>
      <c r="B37" s="5" t="s">
        <v>785</v>
      </c>
      <c r="C37" s="5" t="s">
        <v>782</v>
      </c>
      <c r="D37" s="7">
        <v>54.99</v>
      </c>
      <c r="E37" s="7">
        <v>22</v>
      </c>
    </row>
    <row r="38" spans="1:5" x14ac:dyDescent="0.3">
      <c r="A38" s="2" t="s">
        <v>598</v>
      </c>
      <c r="B38" s="2" t="s">
        <v>786</v>
      </c>
      <c r="C38" s="2" t="s">
        <v>782</v>
      </c>
      <c r="D38" s="4">
        <v>13.99</v>
      </c>
      <c r="E38" s="4">
        <v>4.5</v>
      </c>
    </row>
    <row r="39" spans="1:5" x14ac:dyDescent="0.3">
      <c r="A39" s="5" t="s">
        <v>349</v>
      </c>
      <c r="B39" s="5" t="s">
        <v>787</v>
      </c>
      <c r="C39" s="5" t="s">
        <v>788</v>
      </c>
      <c r="D39" s="7">
        <v>24.99</v>
      </c>
      <c r="E39" s="7">
        <v>10.5</v>
      </c>
    </row>
    <row r="40" spans="1:5" x14ac:dyDescent="0.3">
      <c r="A40" s="2" t="s">
        <v>324</v>
      </c>
      <c r="B40" s="2" t="s">
        <v>789</v>
      </c>
      <c r="C40" s="2" t="s">
        <v>788</v>
      </c>
      <c r="D40" s="4">
        <v>13.99</v>
      </c>
      <c r="E40" s="4">
        <v>5</v>
      </c>
    </row>
    <row r="41" spans="1:5" x14ac:dyDescent="0.3">
      <c r="A41" s="5" t="s">
        <v>442</v>
      </c>
      <c r="B41" s="5" t="s">
        <v>790</v>
      </c>
      <c r="C41" s="5" t="s">
        <v>788</v>
      </c>
      <c r="D41" s="7">
        <v>8.99</v>
      </c>
      <c r="E41" s="7">
        <v>3</v>
      </c>
    </row>
    <row r="42" spans="1:5" x14ac:dyDescent="0.3">
      <c r="A42" s="2" t="s">
        <v>337</v>
      </c>
      <c r="B42" s="2" t="s">
        <v>791</v>
      </c>
      <c r="C42" s="2" t="s">
        <v>788</v>
      </c>
      <c r="D42" s="4">
        <v>17.989999999999998</v>
      </c>
      <c r="E42" s="4">
        <v>7</v>
      </c>
    </row>
    <row r="43" spans="1:5" x14ac:dyDescent="0.3">
      <c r="A43" s="5" t="s">
        <v>492</v>
      </c>
      <c r="B43" s="5" t="s">
        <v>792</v>
      </c>
      <c r="C43" s="5" t="s">
        <v>788</v>
      </c>
      <c r="D43" s="7">
        <v>11.99</v>
      </c>
      <c r="E43" s="7">
        <v>4</v>
      </c>
    </row>
    <row r="44" spans="1:5" x14ac:dyDescent="0.3">
      <c r="A44" s="2" t="s">
        <v>470</v>
      </c>
      <c r="B44" s="2" t="s">
        <v>793</v>
      </c>
      <c r="C44" s="2" t="s">
        <v>794</v>
      </c>
      <c r="D44" s="4">
        <v>44.99</v>
      </c>
      <c r="E44" s="4">
        <v>18</v>
      </c>
    </row>
    <row r="45" spans="1:5" x14ac:dyDescent="0.3">
      <c r="A45" s="5" t="s">
        <v>359</v>
      </c>
      <c r="B45" s="5" t="s">
        <v>795</v>
      </c>
      <c r="C45" s="5" t="s">
        <v>794</v>
      </c>
      <c r="D45" s="7">
        <v>16.989999999999998</v>
      </c>
      <c r="E45" s="7">
        <v>6</v>
      </c>
    </row>
    <row r="46" spans="1:5" x14ac:dyDescent="0.3">
      <c r="A46" s="2" t="s">
        <v>320</v>
      </c>
      <c r="B46" s="2" t="s">
        <v>796</v>
      </c>
      <c r="C46" s="2" t="s">
        <v>794</v>
      </c>
      <c r="D46" s="4">
        <v>29.99</v>
      </c>
      <c r="E46" s="4">
        <v>12</v>
      </c>
    </row>
    <row r="47" spans="1:5" x14ac:dyDescent="0.3">
      <c r="A47" s="5" t="s">
        <v>426</v>
      </c>
      <c r="B47" s="5" t="s">
        <v>797</v>
      </c>
      <c r="C47" s="5" t="s">
        <v>794</v>
      </c>
      <c r="D47" s="7">
        <v>6.99</v>
      </c>
      <c r="E47" s="7">
        <v>2</v>
      </c>
    </row>
    <row r="48" spans="1:5" x14ac:dyDescent="0.3">
      <c r="A48" s="2" t="s">
        <v>484</v>
      </c>
      <c r="B48" s="2" t="s">
        <v>798</v>
      </c>
      <c r="C48" s="2" t="s">
        <v>799</v>
      </c>
      <c r="D48" s="4">
        <v>19.989999999999998</v>
      </c>
      <c r="E48" s="4">
        <v>7</v>
      </c>
    </row>
    <row r="49" spans="1:5" x14ac:dyDescent="0.3">
      <c r="A49" s="5" t="s">
        <v>364</v>
      </c>
      <c r="B49" s="5" t="s">
        <v>800</v>
      </c>
      <c r="C49" s="5" t="s">
        <v>799</v>
      </c>
      <c r="D49" s="7">
        <v>49.99</v>
      </c>
      <c r="E49" s="7">
        <v>22</v>
      </c>
    </row>
    <row r="50" spans="1:5" x14ac:dyDescent="0.3">
      <c r="A50" s="2" t="s">
        <v>316</v>
      </c>
      <c r="B50" s="2" t="s">
        <v>801</v>
      </c>
      <c r="C50" s="2" t="s">
        <v>799</v>
      </c>
      <c r="D50" s="4">
        <v>39.99</v>
      </c>
      <c r="E50" s="4">
        <v>16</v>
      </c>
    </row>
    <row r="51" spans="1:5" x14ac:dyDescent="0.3">
      <c r="A51" s="5" t="s">
        <v>437</v>
      </c>
      <c r="B51" s="5" t="s">
        <v>802</v>
      </c>
      <c r="C51" s="5" t="s">
        <v>799</v>
      </c>
      <c r="D51" s="7">
        <v>29.99</v>
      </c>
      <c r="E51" s="7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2" customWidth="1"/>
    <col min="3" max="4" width="15" customWidth="1"/>
  </cols>
  <sheetData>
    <row r="1" spans="1:4" x14ac:dyDescent="0.3">
      <c r="A1" s="1" t="s">
        <v>2</v>
      </c>
      <c r="B1" s="1" t="s">
        <v>803</v>
      </c>
      <c r="C1" s="1" t="s">
        <v>804</v>
      </c>
      <c r="D1" s="1" t="s">
        <v>805</v>
      </c>
    </row>
    <row r="2" spans="1:4" x14ac:dyDescent="0.3">
      <c r="A2" s="2" t="s">
        <v>43</v>
      </c>
      <c r="B2" s="2" t="s">
        <v>806</v>
      </c>
      <c r="C2" s="2" t="s">
        <v>807</v>
      </c>
      <c r="D2" s="2" t="s">
        <v>808</v>
      </c>
    </row>
    <row r="3" spans="1:4" x14ac:dyDescent="0.3">
      <c r="A3" s="5" t="s">
        <v>216</v>
      </c>
      <c r="B3" s="5" t="s">
        <v>809</v>
      </c>
      <c r="C3" s="5" t="s">
        <v>807</v>
      </c>
      <c r="D3" s="5" t="s">
        <v>808</v>
      </c>
    </row>
    <row r="4" spans="1:4" x14ac:dyDescent="0.3">
      <c r="A4" s="2" t="s">
        <v>78</v>
      </c>
      <c r="B4" s="2" t="s">
        <v>810</v>
      </c>
      <c r="C4" s="2" t="s">
        <v>811</v>
      </c>
      <c r="D4" s="2" t="s">
        <v>808</v>
      </c>
    </row>
    <row r="5" spans="1:4" x14ac:dyDescent="0.3">
      <c r="A5" s="5" t="s">
        <v>105</v>
      </c>
      <c r="B5" s="5" t="s">
        <v>812</v>
      </c>
      <c r="C5" s="5" t="s">
        <v>811</v>
      </c>
      <c r="D5" s="5" t="s">
        <v>808</v>
      </c>
    </row>
    <row r="6" spans="1:4" x14ac:dyDescent="0.3">
      <c r="A6" s="2" t="s">
        <v>118</v>
      </c>
      <c r="B6" s="2" t="s">
        <v>813</v>
      </c>
      <c r="C6" s="2" t="s">
        <v>814</v>
      </c>
      <c r="D6" s="2" t="s">
        <v>815</v>
      </c>
    </row>
    <row r="7" spans="1:4" x14ac:dyDescent="0.3">
      <c r="A7" s="5" t="s">
        <v>213</v>
      </c>
      <c r="B7" s="5" t="s">
        <v>816</v>
      </c>
      <c r="C7" s="5" t="s">
        <v>807</v>
      </c>
      <c r="D7" s="5" t="s">
        <v>808</v>
      </c>
    </row>
    <row r="8" spans="1:4" x14ac:dyDescent="0.3">
      <c r="A8" s="2" t="s">
        <v>66</v>
      </c>
      <c r="B8" s="2" t="s">
        <v>817</v>
      </c>
      <c r="C8" s="2" t="s">
        <v>807</v>
      </c>
      <c r="D8" s="2" t="s">
        <v>808</v>
      </c>
    </row>
    <row r="9" spans="1:4" x14ac:dyDescent="0.3">
      <c r="A9" s="5" t="s">
        <v>250</v>
      </c>
      <c r="B9" s="5" t="s">
        <v>818</v>
      </c>
      <c r="C9" s="5" t="s">
        <v>807</v>
      </c>
      <c r="D9" s="5" t="s">
        <v>815</v>
      </c>
    </row>
    <row r="10" spans="1:4" x14ac:dyDescent="0.3">
      <c r="A10" s="2" t="s">
        <v>169</v>
      </c>
      <c r="B10" s="2" t="s">
        <v>819</v>
      </c>
      <c r="C10" s="2" t="s">
        <v>811</v>
      </c>
      <c r="D10" s="2" t="s">
        <v>815</v>
      </c>
    </row>
    <row r="11" spans="1:4" x14ac:dyDescent="0.3">
      <c r="A11" s="5" t="s">
        <v>25</v>
      </c>
      <c r="B11" s="5" t="s">
        <v>820</v>
      </c>
      <c r="C11" s="5" t="s">
        <v>811</v>
      </c>
      <c r="D11" s="5" t="s">
        <v>821</v>
      </c>
    </row>
    <row r="12" spans="1:4" x14ac:dyDescent="0.3">
      <c r="A12" s="2" t="s">
        <v>97</v>
      </c>
      <c r="B12" s="2" t="s">
        <v>816</v>
      </c>
      <c r="C12" s="2" t="s">
        <v>822</v>
      </c>
      <c r="D12" s="2" t="s">
        <v>808</v>
      </c>
    </row>
    <row r="13" spans="1:4" x14ac:dyDescent="0.3">
      <c r="A13" s="5" t="s">
        <v>267</v>
      </c>
      <c r="B13" s="5" t="s">
        <v>823</v>
      </c>
      <c r="C13" s="5" t="s">
        <v>822</v>
      </c>
      <c r="D13" s="5" t="s">
        <v>808</v>
      </c>
    </row>
    <row r="14" spans="1:4" x14ac:dyDescent="0.3">
      <c r="A14" s="2" t="s">
        <v>16</v>
      </c>
      <c r="B14" s="2" t="s">
        <v>824</v>
      </c>
      <c r="C14" s="2" t="s">
        <v>811</v>
      </c>
      <c r="D14" s="2" t="s">
        <v>821</v>
      </c>
    </row>
    <row r="15" spans="1:4" x14ac:dyDescent="0.3">
      <c r="A15" s="5" t="s">
        <v>148</v>
      </c>
      <c r="B15" s="5" t="s">
        <v>825</v>
      </c>
      <c r="C15" s="5" t="s">
        <v>807</v>
      </c>
      <c r="D15" s="5" t="s">
        <v>808</v>
      </c>
    </row>
    <row r="16" spans="1:4" x14ac:dyDescent="0.3">
      <c r="A16" s="2" t="s">
        <v>171</v>
      </c>
      <c r="B16" s="2" t="s">
        <v>826</v>
      </c>
      <c r="C16" s="2" t="s">
        <v>811</v>
      </c>
      <c r="D16" s="2" t="s">
        <v>827</v>
      </c>
    </row>
    <row r="17" spans="1:4" x14ac:dyDescent="0.3">
      <c r="A17" s="5" t="s">
        <v>13</v>
      </c>
      <c r="B17" s="5" t="s">
        <v>828</v>
      </c>
      <c r="C17" s="5" t="s">
        <v>807</v>
      </c>
      <c r="D17" s="5" t="s">
        <v>821</v>
      </c>
    </row>
    <row r="18" spans="1:4" x14ac:dyDescent="0.3">
      <c r="A18" s="2" t="s">
        <v>80</v>
      </c>
      <c r="B18" s="2" t="s">
        <v>829</v>
      </c>
      <c r="C18" s="2" t="s">
        <v>807</v>
      </c>
      <c r="D18" s="2" t="s">
        <v>827</v>
      </c>
    </row>
    <row r="19" spans="1:4" x14ac:dyDescent="0.3">
      <c r="A19" s="5" t="s">
        <v>70</v>
      </c>
      <c r="B19" s="5" t="s">
        <v>830</v>
      </c>
      <c r="C19" s="5" t="s">
        <v>807</v>
      </c>
      <c r="D19" s="5" t="s">
        <v>831</v>
      </c>
    </row>
    <row r="20" spans="1:4" x14ac:dyDescent="0.3">
      <c r="A20" s="2" t="s">
        <v>63</v>
      </c>
      <c r="B20" s="2" t="s">
        <v>832</v>
      </c>
      <c r="C20" s="2" t="s">
        <v>822</v>
      </c>
      <c r="D20" s="2" t="s">
        <v>815</v>
      </c>
    </row>
    <row r="21" spans="1:4" x14ac:dyDescent="0.3">
      <c r="A21" s="5" t="s">
        <v>111</v>
      </c>
      <c r="B21" s="5" t="s">
        <v>833</v>
      </c>
      <c r="C21" s="5" t="s">
        <v>811</v>
      </c>
      <c r="D21" s="5" t="s">
        <v>808</v>
      </c>
    </row>
    <row r="22" spans="1:4" x14ac:dyDescent="0.3">
      <c r="A22" s="2" t="s">
        <v>130</v>
      </c>
      <c r="B22" s="2" t="s">
        <v>834</v>
      </c>
      <c r="C22" s="2" t="s">
        <v>822</v>
      </c>
      <c r="D22" s="2" t="s">
        <v>808</v>
      </c>
    </row>
    <row r="23" spans="1:4" x14ac:dyDescent="0.3">
      <c r="A23" s="5" t="s">
        <v>265</v>
      </c>
      <c r="B23" s="5" t="s">
        <v>835</v>
      </c>
      <c r="C23" s="5" t="s">
        <v>814</v>
      </c>
      <c r="D23" s="5" t="s">
        <v>831</v>
      </c>
    </row>
    <row r="24" spans="1:4" x14ac:dyDescent="0.3">
      <c r="A24" s="2" t="s">
        <v>76</v>
      </c>
      <c r="B24" s="2" t="s">
        <v>836</v>
      </c>
      <c r="C24" s="2" t="s">
        <v>837</v>
      </c>
      <c r="D24" s="2" t="s">
        <v>808</v>
      </c>
    </row>
    <row r="25" spans="1:4" x14ac:dyDescent="0.3">
      <c r="A25" s="5" t="s">
        <v>29</v>
      </c>
      <c r="B25" s="5" t="s">
        <v>824</v>
      </c>
      <c r="C25" s="5" t="s">
        <v>811</v>
      </c>
      <c r="D25" s="5" t="s">
        <v>808</v>
      </c>
    </row>
    <row r="26" spans="1:4" x14ac:dyDescent="0.3">
      <c r="A26" s="2" t="s">
        <v>255</v>
      </c>
      <c r="B26" s="2" t="s">
        <v>838</v>
      </c>
      <c r="C26" s="2" t="s">
        <v>822</v>
      </c>
      <c r="D26" s="2" t="s">
        <v>808</v>
      </c>
    </row>
    <row r="27" spans="1:4" x14ac:dyDescent="0.3">
      <c r="A27" s="5" t="s">
        <v>125</v>
      </c>
      <c r="B27" s="5" t="s">
        <v>839</v>
      </c>
      <c r="C27" s="5" t="s">
        <v>807</v>
      </c>
      <c r="D27" s="5" t="s">
        <v>831</v>
      </c>
    </row>
    <row r="28" spans="1:4" x14ac:dyDescent="0.3">
      <c r="A28" s="2" t="s">
        <v>59</v>
      </c>
      <c r="B28" s="2" t="s">
        <v>840</v>
      </c>
      <c r="C28" s="2" t="s">
        <v>807</v>
      </c>
      <c r="D28" s="2" t="s">
        <v>808</v>
      </c>
    </row>
    <row r="29" spans="1:4" x14ac:dyDescent="0.3">
      <c r="A29" s="5" t="s">
        <v>210</v>
      </c>
      <c r="B29" s="5" t="s">
        <v>841</v>
      </c>
      <c r="C29" s="5" t="s">
        <v>837</v>
      </c>
      <c r="D29" s="5" t="s">
        <v>808</v>
      </c>
    </row>
    <row r="30" spans="1:4" x14ac:dyDescent="0.3">
      <c r="A30" s="2" t="s">
        <v>73</v>
      </c>
      <c r="B30" s="2" t="s">
        <v>842</v>
      </c>
      <c r="C30" s="2" t="s">
        <v>822</v>
      </c>
      <c r="D30" s="2" t="s">
        <v>808</v>
      </c>
    </row>
    <row r="31" spans="1:4" x14ac:dyDescent="0.3">
      <c r="A31" s="5" t="s">
        <v>36</v>
      </c>
      <c r="B31" s="5" t="s">
        <v>843</v>
      </c>
      <c r="C31" s="5" t="s">
        <v>811</v>
      </c>
      <c r="D31" s="5" t="s">
        <v>808</v>
      </c>
    </row>
    <row r="32" spans="1:4" x14ac:dyDescent="0.3">
      <c r="A32" s="2" t="s">
        <v>54</v>
      </c>
      <c r="B32" s="2" t="s">
        <v>844</v>
      </c>
      <c r="C32" s="2" t="s">
        <v>807</v>
      </c>
      <c r="D32" s="2" t="s">
        <v>815</v>
      </c>
    </row>
    <row r="33" spans="1:4" x14ac:dyDescent="0.3">
      <c r="A33" s="5" t="s">
        <v>52</v>
      </c>
      <c r="B33" s="5" t="s">
        <v>845</v>
      </c>
      <c r="C33" s="5" t="s">
        <v>811</v>
      </c>
      <c r="D33" s="5" t="s">
        <v>808</v>
      </c>
    </row>
    <row r="34" spans="1:4" x14ac:dyDescent="0.3">
      <c r="A34" s="2" t="s">
        <v>31</v>
      </c>
      <c r="B34" s="2" t="s">
        <v>846</v>
      </c>
      <c r="C34" s="2" t="s">
        <v>807</v>
      </c>
      <c r="D34" s="2" t="s">
        <v>827</v>
      </c>
    </row>
    <row r="35" spans="1:4" x14ac:dyDescent="0.3">
      <c r="A35" s="5" t="s">
        <v>22</v>
      </c>
      <c r="B35" s="5" t="s">
        <v>847</v>
      </c>
      <c r="C35" s="5" t="s">
        <v>822</v>
      </c>
      <c r="D35" s="5" t="s">
        <v>821</v>
      </c>
    </row>
    <row r="36" spans="1:4" x14ac:dyDescent="0.3">
      <c r="A36" s="2" t="s">
        <v>27</v>
      </c>
      <c r="B36" s="2" t="s">
        <v>848</v>
      </c>
      <c r="C36" s="2" t="s">
        <v>807</v>
      </c>
      <c r="D36" s="2" t="s">
        <v>808</v>
      </c>
    </row>
    <row r="37" spans="1:4" x14ac:dyDescent="0.3">
      <c r="A37" s="5" t="s">
        <v>273</v>
      </c>
      <c r="B37" s="5" t="s">
        <v>849</v>
      </c>
      <c r="C37" s="5" t="s">
        <v>822</v>
      </c>
      <c r="D37" s="5" t="s">
        <v>808</v>
      </c>
    </row>
    <row r="38" spans="1:4" x14ac:dyDescent="0.3">
      <c r="A38" s="2" t="s">
        <v>39</v>
      </c>
      <c r="B38" s="2" t="s">
        <v>850</v>
      </c>
      <c r="C38" s="2" t="s">
        <v>807</v>
      </c>
      <c r="D38" s="2" t="s">
        <v>808</v>
      </c>
    </row>
    <row r="39" spans="1:4" x14ac:dyDescent="0.3">
      <c r="A39" s="5" t="s">
        <v>153</v>
      </c>
      <c r="B39" s="5" t="s">
        <v>851</v>
      </c>
      <c r="C39" s="5" t="s">
        <v>811</v>
      </c>
      <c r="D39" s="5" t="s">
        <v>815</v>
      </c>
    </row>
    <row r="40" spans="1:4" x14ac:dyDescent="0.3">
      <c r="A40" s="2" t="s">
        <v>45</v>
      </c>
      <c r="B40" s="2" t="s">
        <v>809</v>
      </c>
      <c r="C40" s="2" t="s">
        <v>814</v>
      </c>
      <c r="D40" s="2" t="s">
        <v>815</v>
      </c>
    </row>
    <row r="41" spans="1:4" x14ac:dyDescent="0.3">
      <c r="A41" s="5" t="s">
        <v>123</v>
      </c>
      <c r="B41" s="5" t="s">
        <v>850</v>
      </c>
      <c r="C41" s="5" t="s">
        <v>822</v>
      </c>
      <c r="D41" s="5" t="s">
        <v>808</v>
      </c>
    </row>
    <row r="42" spans="1:4" x14ac:dyDescent="0.3">
      <c r="A42" s="2" t="s">
        <v>88</v>
      </c>
      <c r="B42" s="2" t="s">
        <v>852</v>
      </c>
      <c r="C42" s="2" t="s">
        <v>822</v>
      </c>
      <c r="D42" s="2" t="s">
        <v>808</v>
      </c>
    </row>
    <row r="43" spans="1:4" x14ac:dyDescent="0.3">
      <c r="A43" s="5" t="s">
        <v>47</v>
      </c>
      <c r="B43" s="5" t="s">
        <v>849</v>
      </c>
      <c r="C43" s="5" t="s">
        <v>814</v>
      </c>
      <c r="D43" s="5" t="s">
        <v>808</v>
      </c>
    </row>
    <row r="44" spans="1:4" x14ac:dyDescent="0.3">
      <c r="A44" s="2" t="s">
        <v>41</v>
      </c>
      <c r="B44" s="2" t="s">
        <v>853</v>
      </c>
      <c r="C44" s="2" t="s">
        <v>811</v>
      </c>
      <c r="D44" s="2" t="s">
        <v>808</v>
      </c>
    </row>
    <row r="45" spans="1:4" x14ac:dyDescent="0.3">
      <c r="A45" s="5" t="s">
        <v>92</v>
      </c>
      <c r="B45" s="5" t="s">
        <v>854</v>
      </c>
      <c r="C45" s="5" t="s">
        <v>807</v>
      </c>
      <c r="D45" s="5" t="s">
        <v>815</v>
      </c>
    </row>
    <row r="46" spans="1:4" x14ac:dyDescent="0.3">
      <c r="A46" s="2" t="s">
        <v>281</v>
      </c>
      <c r="B46" s="2" t="s">
        <v>855</v>
      </c>
      <c r="C46" s="2" t="s">
        <v>811</v>
      </c>
      <c r="D46" s="2" t="s">
        <v>827</v>
      </c>
    </row>
    <row r="47" spans="1:4" x14ac:dyDescent="0.3">
      <c r="A47" s="5" t="s">
        <v>18</v>
      </c>
      <c r="B47" s="5" t="s">
        <v>856</v>
      </c>
      <c r="C47" s="5" t="s">
        <v>822</v>
      </c>
      <c r="D47" s="5" t="s">
        <v>857</v>
      </c>
    </row>
    <row r="48" spans="1:4" x14ac:dyDescent="0.3">
      <c r="A48" s="2" t="s">
        <v>61</v>
      </c>
      <c r="B48" s="2" t="s">
        <v>858</v>
      </c>
      <c r="C48" s="2" t="s">
        <v>814</v>
      </c>
      <c r="D48" s="2" t="s">
        <v>831</v>
      </c>
    </row>
    <row r="49" spans="1:4" x14ac:dyDescent="0.3">
      <c r="A49" s="5" t="s">
        <v>68</v>
      </c>
      <c r="B49" s="5" t="s">
        <v>859</v>
      </c>
      <c r="C49" s="5" t="s">
        <v>807</v>
      </c>
      <c r="D49" s="5" t="s">
        <v>808</v>
      </c>
    </row>
    <row r="50" spans="1:4" x14ac:dyDescent="0.3">
      <c r="A50" s="2" t="s">
        <v>860</v>
      </c>
      <c r="B50" s="2" t="s">
        <v>861</v>
      </c>
      <c r="C50" s="2" t="s">
        <v>807</v>
      </c>
      <c r="D50" s="2" t="s">
        <v>808</v>
      </c>
    </row>
    <row r="51" spans="1:4" x14ac:dyDescent="0.3">
      <c r="A51" s="5" t="s">
        <v>20</v>
      </c>
      <c r="B51" s="5" t="s">
        <v>862</v>
      </c>
      <c r="C51" s="5" t="s">
        <v>837</v>
      </c>
      <c r="D51" s="5" t="s">
        <v>827</v>
      </c>
    </row>
    <row r="52" spans="1:4" x14ac:dyDescent="0.3">
      <c r="A52" s="2" t="s">
        <v>10</v>
      </c>
      <c r="B52" s="2" t="s">
        <v>863</v>
      </c>
      <c r="C52" s="2" t="s">
        <v>837</v>
      </c>
      <c r="D52" s="2" t="s">
        <v>821</v>
      </c>
    </row>
    <row r="53" spans="1:4" x14ac:dyDescent="0.3">
      <c r="A53" s="5" t="s">
        <v>127</v>
      </c>
      <c r="B53" s="5" t="s">
        <v>864</v>
      </c>
      <c r="C53" s="5" t="s">
        <v>807</v>
      </c>
      <c r="D53" s="5" t="s">
        <v>808</v>
      </c>
    </row>
    <row r="54" spans="1:4" x14ac:dyDescent="0.3">
      <c r="A54" s="2" t="s">
        <v>246</v>
      </c>
      <c r="B54" s="2" t="s">
        <v>865</v>
      </c>
      <c r="C54" s="2" t="s">
        <v>822</v>
      </c>
      <c r="D54" s="2" t="s">
        <v>808</v>
      </c>
    </row>
    <row r="55" spans="1:4" x14ac:dyDescent="0.3">
      <c r="A55" s="5" t="s">
        <v>90</v>
      </c>
      <c r="B55" s="5" t="s">
        <v>866</v>
      </c>
      <c r="C55" s="5" t="s">
        <v>814</v>
      </c>
      <c r="D55" s="5" t="s">
        <v>808</v>
      </c>
    </row>
    <row r="56" spans="1:4" x14ac:dyDescent="0.3">
      <c r="A56" s="2" t="s">
        <v>867</v>
      </c>
      <c r="B56" s="2" t="s">
        <v>868</v>
      </c>
      <c r="C56" s="2" t="s">
        <v>811</v>
      </c>
      <c r="D56" s="2" t="s">
        <v>808</v>
      </c>
    </row>
    <row r="57" spans="1:4" x14ac:dyDescent="0.3">
      <c r="A57" s="5" t="s">
        <v>33</v>
      </c>
      <c r="B57" s="5" t="s">
        <v>869</v>
      </c>
      <c r="C57" s="5" t="s">
        <v>807</v>
      </c>
      <c r="D57" s="5" t="s">
        <v>808</v>
      </c>
    </row>
    <row r="58" spans="1:4" x14ac:dyDescent="0.3">
      <c r="A58" s="2" t="s">
        <v>140</v>
      </c>
      <c r="B58" s="2" t="s">
        <v>870</v>
      </c>
      <c r="C58" s="2" t="s">
        <v>807</v>
      </c>
      <c r="D58" s="2" t="s">
        <v>815</v>
      </c>
    </row>
    <row r="59" spans="1:4" x14ac:dyDescent="0.3">
      <c r="A59" s="5" t="s">
        <v>114</v>
      </c>
      <c r="B59" s="5" t="s">
        <v>871</v>
      </c>
      <c r="C59" s="5" t="s">
        <v>837</v>
      </c>
      <c r="D59" s="5" t="s">
        <v>821</v>
      </c>
    </row>
    <row r="60" spans="1:4" x14ac:dyDescent="0.3">
      <c r="A60" s="2" t="s">
        <v>84</v>
      </c>
      <c r="B60" s="2" t="s">
        <v>872</v>
      </c>
      <c r="C60" s="2" t="s">
        <v>837</v>
      </c>
      <c r="D60" s="2" t="s">
        <v>808</v>
      </c>
    </row>
    <row r="61" spans="1:4" x14ac:dyDescent="0.3">
      <c r="A61" s="5" t="s">
        <v>57</v>
      </c>
      <c r="B61" s="5" t="s">
        <v>873</v>
      </c>
      <c r="C61" s="5" t="s">
        <v>837</v>
      </c>
      <c r="D61" s="5" t="s">
        <v>827</v>
      </c>
    </row>
    <row r="62" spans="1:4" x14ac:dyDescent="0.3">
      <c r="A62" s="2" t="s">
        <v>101</v>
      </c>
      <c r="B62" s="2" t="s">
        <v>874</v>
      </c>
      <c r="C62" s="2" t="s">
        <v>807</v>
      </c>
      <c r="D62" s="2" t="s">
        <v>857</v>
      </c>
    </row>
    <row r="63" spans="1:4" x14ac:dyDescent="0.3">
      <c r="A63" s="5" t="s">
        <v>160</v>
      </c>
      <c r="B63" s="5" t="s">
        <v>875</v>
      </c>
      <c r="C63" s="5" t="s">
        <v>814</v>
      </c>
      <c r="D63" s="5" t="s">
        <v>808</v>
      </c>
    </row>
    <row r="64" spans="1:4" x14ac:dyDescent="0.3">
      <c r="A64" s="2" t="s">
        <v>143</v>
      </c>
      <c r="B64" s="2" t="s">
        <v>833</v>
      </c>
      <c r="C64" s="2" t="s">
        <v>837</v>
      </c>
      <c r="D64" s="2" t="s">
        <v>808</v>
      </c>
    </row>
    <row r="65" spans="1:4" x14ac:dyDescent="0.3">
      <c r="A65" s="5" t="s">
        <v>121</v>
      </c>
      <c r="B65" s="5" t="s">
        <v>876</v>
      </c>
      <c r="C65" s="5" t="s">
        <v>822</v>
      </c>
      <c r="D65" s="5" t="s">
        <v>808</v>
      </c>
    </row>
    <row r="66" spans="1:4" x14ac:dyDescent="0.3">
      <c r="A66" s="2" t="s">
        <v>49</v>
      </c>
      <c r="B66" s="2" t="s">
        <v>877</v>
      </c>
      <c r="C66" s="2" t="s">
        <v>811</v>
      </c>
      <c r="D66" s="2" t="s">
        <v>808</v>
      </c>
    </row>
    <row r="67" spans="1:4" x14ac:dyDescent="0.3">
      <c r="A67" s="5" t="s">
        <v>7</v>
      </c>
      <c r="B67" s="5" t="s">
        <v>828</v>
      </c>
      <c r="C67" s="5" t="s">
        <v>822</v>
      </c>
      <c r="D67" s="5" t="s">
        <v>808</v>
      </c>
    </row>
    <row r="68" spans="1:4" x14ac:dyDescent="0.3">
      <c r="A68" s="2" t="s">
        <v>134</v>
      </c>
      <c r="B68" s="2" t="s">
        <v>878</v>
      </c>
      <c r="C68" s="2" t="s">
        <v>811</v>
      </c>
      <c r="D68" s="2" t="s">
        <v>808</v>
      </c>
    </row>
    <row r="69" spans="1:4" x14ac:dyDescent="0.3">
      <c r="A69" s="5" t="s">
        <v>879</v>
      </c>
      <c r="B69" s="5" t="s">
        <v>880</v>
      </c>
      <c r="C69" s="5" t="s">
        <v>822</v>
      </c>
      <c r="D69" s="5" t="s">
        <v>808</v>
      </c>
    </row>
    <row r="70" spans="1:4" x14ac:dyDescent="0.3">
      <c r="A70" s="2" t="s">
        <v>109</v>
      </c>
      <c r="B70" s="2" t="s">
        <v>823</v>
      </c>
      <c r="C70" s="2" t="s">
        <v>837</v>
      </c>
      <c r="D70" s="2" t="s">
        <v>808</v>
      </c>
    </row>
    <row r="71" spans="1:4" x14ac:dyDescent="0.3">
      <c r="A71" s="5" t="s">
        <v>226</v>
      </c>
      <c r="B71" s="5" t="s">
        <v>881</v>
      </c>
      <c r="C71" s="5" t="s">
        <v>822</v>
      </c>
      <c r="D71" s="5" t="s">
        <v>831</v>
      </c>
    </row>
    <row r="72" spans="1:4" x14ac:dyDescent="0.3">
      <c r="A72" s="2" t="s">
        <v>205</v>
      </c>
      <c r="B72" s="2" t="s">
        <v>882</v>
      </c>
      <c r="C72" s="2" t="s">
        <v>837</v>
      </c>
      <c r="D72" s="2" t="s">
        <v>831</v>
      </c>
    </row>
    <row r="73" spans="1:4" x14ac:dyDescent="0.3">
      <c r="A73" s="5" t="s">
        <v>136</v>
      </c>
      <c r="B73" s="5" t="s">
        <v>883</v>
      </c>
      <c r="C73" s="5" t="s">
        <v>811</v>
      </c>
      <c r="D73" s="5" t="s">
        <v>808</v>
      </c>
    </row>
    <row r="74" spans="1:4" x14ac:dyDescent="0.3">
      <c r="A74" s="2" t="s">
        <v>175</v>
      </c>
      <c r="B74" s="2" t="s">
        <v>884</v>
      </c>
      <c r="C74" s="2" t="s">
        <v>822</v>
      </c>
      <c r="D74" s="2" t="s">
        <v>821</v>
      </c>
    </row>
    <row r="75" spans="1:4" x14ac:dyDescent="0.3">
      <c r="A75" s="5" t="s">
        <v>150</v>
      </c>
      <c r="B75" s="5" t="s">
        <v>885</v>
      </c>
      <c r="C75" s="5" t="s">
        <v>811</v>
      </c>
      <c r="D75" s="5" t="s">
        <v>815</v>
      </c>
    </row>
    <row r="76" spans="1:4" x14ac:dyDescent="0.3">
      <c r="A76" s="2" t="s">
        <v>116</v>
      </c>
      <c r="B76" s="2" t="s">
        <v>886</v>
      </c>
      <c r="C76" s="2" t="s">
        <v>811</v>
      </c>
      <c r="D76" s="2" t="s">
        <v>815</v>
      </c>
    </row>
    <row r="77" spans="1:4" x14ac:dyDescent="0.3">
      <c r="A77" s="5" t="s">
        <v>258</v>
      </c>
      <c r="B77" s="5" t="s">
        <v>887</v>
      </c>
      <c r="C77" s="5" t="s">
        <v>807</v>
      </c>
      <c r="D77" s="5" t="s">
        <v>821</v>
      </c>
    </row>
    <row r="78" spans="1:4" x14ac:dyDescent="0.3">
      <c r="A78" s="2" t="s">
        <v>164</v>
      </c>
      <c r="B78" s="2" t="s">
        <v>888</v>
      </c>
      <c r="C78" s="2" t="s">
        <v>811</v>
      </c>
      <c r="D78" s="2" t="s">
        <v>808</v>
      </c>
    </row>
    <row r="79" spans="1:4" x14ac:dyDescent="0.3">
      <c r="A79" s="5" t="s">
        <v>103</v>
      </c>
      <c r="B79" s="5" t="s">
        <v>828</v>
      </c>
      <c r="C79" s="5" t="s">
        <v>807</v>
      </c>
      <c r="D79" s="5" t="s">
        <v>808</v>
      </c>
    </row>
    <row r="80" spans="1:4" x14ac:dyDescent="0.3">
      <c r="A80" s="2" t="s">
        <v>145</v>
      </c>
      <c r="B80" s="2" t="s">
        <v>889</v>
      </c>
      <c r="C80" s="2" t="s">
        <v>807</v>
      </c>
      <c r="D80" s="2" t="s">
        <v>827</v>
      </c>
    </row>
    <row r="81" spans="1:4" x14ac:dyDescent="0.3">
      <c r="A81" s="5" t="s">
        <v>183</v>
      </c>
      <c r="B81" s="5" t="s">
        <v>890</v>
      </c>
      <c r="C81" s="5" t="s">
        <v>811</v>
      </c>
      <c r="D81" s="5" t="s">
        <v>808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</cols>
  <sheetData>
    <row r="1" spans="1:2" x14ac:dyDescent="0.3">
      <c r="A1" s="1" t="s">
        <v>743</v>
      </c>
      <c r="B1" s="1" t="s">
        <v>891</v>
      </c>
    </row>
    <row r="2" spans="1:2" x14ac:dyDescent="0.3">
      <c r="A2" s="2" t="s">
        <v>746</v>
      </c>
      <c r="B2" s="2" t="s">
        <v>892</v>
      </c>
    </row>
    <row r="3" spans="1:2" x14ac:dyDescent="0.3">
      <c r="A3" s="5" t="s">
        <v>757</v>
      </c>
      <c r="B3" s="5" t="s">
        <v>893</v>
      </c>
    </row>
    <row r="4" spans="1:2" x14ac:dyDescent="0.3">
      <c r="A4" s="2" t="s">
        <v>766</v>
      </c>
      <c r="B4" s="2" t="s">
        <v>894</v>
      </c>
    </row>
    <row r="5" spans="1:2" x14ac:dyDescent="0.3">
      <c r="A5" s="5" t="s">
        <v>775</v>
      </c>
      <c r="B5" s="5" t="s">
        <v>895</v>
      </c>
    </row>
    <row r="6" spans="1:2" x14ac:dyDescent="0.3">
      <c r="A6" s="2" t="s">
        <v>782</v>
      </c>
      <c r="B6" s="2" t="s">
        <v>896</v>
      </c>
    </row>
    <row r="7" spans="1:2" x14ac:dyDescent="0.3">
      <c r="A7" s="5" t="s">
        <v>788</v>
      </c>
      <c r="B7" s="5" t="s">
        <v>897</v>
      </c>
    </row>
    <row r="8" spans="1:2" x14ac:dyDescent="0.3">
      <c r="A8" s="2" t="s">
        <v>794</v>
      </c>
      <c r="B8" s="2" t="s">
        <v>898</v>
      </c>
    </row>
    <row r="9" spans="1:2" x14ac:dyDescent="0.3">
      <c r="A9" s="5" t="s">
        <v>799</v>
      </c>
      <c r="B9" s="5" t="s">
        <v>899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4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8" customWidth="1"/>
    <col min="3" max="3" width="9" customWidth="1"/>
    <col min="4" max="4" width="13" customWidth="1"/>
    <col min="5" max="5" width="10" customWidth="1"/>
    <col min="6" max="6" width="8" customWidth="1"/>
  </cols>
  <sheetData>
    <row r="1" spans="1:6" x14ac:dyDescent="0.3">
      <c r="A1" s="1" t="s">
        <v>900</v>
      </c>
      <c r="B1" s="1" t="s">
        <v>901</v>
      </c>
      <c r="C1" s="1" t="s">
        <v>902</v>
      </c>
      <c r="D1" s="1" t="s">
        <v>903</v>
      </c>
      <c r="E1" s="1" t="s">
        <v>904</v>
      </c>
      <c r="F1" s="1" t="s">
        <v>905</v>
      </c>
    </row>
    <row r="2" spans="1:6" x14ac:dyDescent="0.3">
      <c r="A2" s="12">
        <v>45658</v>
      </c>
      <c r="B2" s="2">
        <v>2025</v>
      </c>
      <c r="C2" s="2">
        <v>1</v>
      </c>
      <c r="D2" s="2" t="s">
        <v>906</v>
      </c>
      <c r="E2" s="2" t="s">
        <v>907</v>
      </c>
      <c r="F2" s="2">
        <v>1</v>
      </c>
    </row>
    <row r="3" spans="1:6" x14ac:dyDescent="0.3">
      <c r="A3" s="13">
        <v>45659</v>
      </c>
      <c r="B3" s="5">
        <v>2025</v>
      </c>
      <c r="C3" s="5">
        <v>1</v>
      </c>
      <c r="D3" s="5" t="s">
        <v>906</v>
      </c>
      <c r="E3" s="5" t="s">
        <v>907</v>
      </c>
      <c r="F3" s="5">
        <v>1</v>
      </c>
    </row>
    <row r="4" spans="1:6" x14ac:dyDescent="0.3">
      <c r="A4" s="12">
        <v>45660</v>
      </c>
      <c r="B4" s="2">
        <v>2025</v>
      </c>
      <c r="C4" s="2">
        <v>1</v>
      </c>
      <c r="D4" s="2" t="s">
        <v>906</v>
      </c>
      <c r="E4" s="2" t="s">
        <v>907</v>
      </c>
      <c r="F4" s="2">
        <v>1</v>
      </c>
    </row>
    <row r="5" spans="1:6" x14ac:dyDescent="0.3">
      <c r="A5" s="13">
        <v>45661</v>
      </c>
      <c r="B5" s="5">
        <v>2025</v>
      </c>
      <c r="C5" s="5">
        <v>1</v>
      </c>
      <c r="D5" s="5" t="s">
        <v>906</v>
      </c>
      <c r="E5" s="5" t="s">
        <v>907</v>
      </c>
      <c r="F5" s="5">
        <v>1</v>
      </c>
    </row>
    <row r="6" spans="1:6" x14ac:dyDescent="0.3">
      <c r="A6" s="12">
        <v>45662</v>
      </c>
      <c r="B6" s="2">
        <v>2025</v>
      </c>
      <c r="C6" s="2">
        <v>1</v>
      </c>
      <c r="D6" s="2" t="s">
        <v>906</v>
      </c>
      <c r="E6" s="2" t="s">
        <v>907</v>
      </c>
      <c r="F6" s="2">
        <v>1</v>
      </c>
    </row>
    <row r="7" spans="1:6" x14ac:dyDescent="0.3">
      <c r="A7" s="13">
        <v>45663</v>
      </c>
      <c r="B7" s="5">
        <v>2025</v>
      </c>
      <c r="C7" s="5">
        <v>1</v>
      </c>
      <c r="D7" s="5" t="s">
        <v>906</v>
      </c>
      <c r="E7" s="5" t="s">
        <v>907</v>
      </c>
      <c r="F7" s="5">
        <v>2</v>
      </c>
    </row>
    <row r="8" spans="1:6" x14ac:dyDescent="0.3">
      <c r="A8" s="12">
        <v>45664</v>
      </c>
      <c r="B8" s="2">
        <v>2025</v>
      </c>
      <c r="C8" s="2">
        <v>1</v>
      </c>
      <c r="D8" s="2" t="s">
        <v>906</v>
      </c>
      <c r="E8" s="2" t="s">
        <v>907</v>
      </c>
      <c r="F8" s="2">
        <v>2</v>
      </c>
    </row>
    <row r="9" spans="1:6" x14ac:dyDescent="0.3">
      <c r="A9" s="13">
        <v>45665</v>
      </c>
      <c r="B9" s="5">
        <v>2025</v>
      </c>
      <c r="C9" s="5">
        <v>1</v>
      </c>
      <c r="D9" s="5" t="s">
        <v>906</v>
      </c>
      <c r="E9" s="5" t="s">
        <v>907</v>
      </c>
      <c r="F9" s="5">
        <v>2</v>
      </c>
    </row>
    <row r="10" spans="1:6" x14ac:dyDescent="0.3">
      <c r="A10" s="12">
        <v>45666</v>
      </c>
      <c r="B10" s="2">
        <v>2025</v>
      </c>
      <c r="C10" s="2">
        <v>1</v>
      </c>
      <c r="D10" s="2" t="s">
        <v>906</v>
      </c>
      <c r="E10" s="2" t="s">
        <v>907</v>
      </c>
      <c r="F10" s="2">
        <v>2</v>
      </c>
    </row>
    <row r="11" spans="1:6" x14ac:dyDescent="0.3">
      <c r="A11" s="13">
        <v>45667</v>
      </c>
      <c r="B11" s="5">
        <v>2025</v>
      </c>
      <c r="C11" s="5">
        <v>1</v>
      </c>
      <c r="D11" s="5" t="s">
        <v>906</v>
      </c>
      <c r="E11" s="5" t="s">
        <v>907</v>
      </c>
      <c r="F11" s="5">
        <v>2</v>
      </c>
    </row>
    <row r="12" spans="1:6" x14ac:dyDescent="0.3">
      <c r="A12" s="12">
        <v>45668</v>
      </c>
      <c r="B12" s="2">
        <v>2025</v>
      </c>
      <c r="C12" s="2">
        <v>1</v>
      </c>
      <c r="D12" s="2" t="s">
        <v>906</v>
      </c>
      <c r="E12" s="2" t="s">
        <v>907</v>
      </c>
      <c r="F12" s="2">
        <v>2</v>
      </c>
    </row>
    <row r="13" spans="1:6" x14ac:dyDescent="0.3">
      <c r="A13" s="13">
        <v>45669</v>
      </c>
      <c r="B13" s="5">
        <v>2025</v>
      </c>
      <c r="C13" s="5">
        <v>1</v>
      </c>
      <c r="D13" s="5" t="s">
        <v>906</v>
      </c>
      <c r="E13" s="5" t="s">
        <v>907</v>
      </c>
      <c r="F13" s="5">
        <v>2</v>
      </c>
    </row>
    <row r="14" spans="1:6" x14ac:dyDescent="0.3">
      <c r="A14" s="12">
        <v>45670</v>
      </c>
      <c r="B14" s="2">
        <v>2025</v>
      </c>
      <c r="C14" s="2">
        <v>1</v>
      </c>
      <c r="D14" s="2" t="s">
        <v>906</v>
      </c>
      <c r="E14" s="2" t="s">
        <v>907</v>
      </c>
      <c r="F14" s="2">
        <v>3</v>
      </c>
    </row>
    <row r="15" spans="1:6" x14ac:dyDescent="0.3">
      <c r="A15" s="13">
        <v>45671</v>
      </c>
      <c r="B15" s="5">
        <v>2025</v>
      </c>
      <c r="C15" s="5">
        <v>1</v>
      </c>
      <c r="D15" s="5" t="s">
        <v>906</v>
      </c>
      <c r="E15" s="5" t="s">
        <v>907</v>
      </c>
      <c r="F15" s="5">
        <v>3</v>
      </c>
    </row>
    <row r="16" spans="1:6" x14ac:dyDescent="0.3">
      <c r="A16" s="12">
        <v>45672</v>
      </c>
      <c r="B16" s="2">
        <v>2025</v>
      </c>
      <c r="C16" s="2">
        <v>1</v>
      </c>
      <c r="D16" s="2" t="s">
        <v>906</v>
      </c>
      <c r="E16" s="2" t="s">
        <v>907</v>
      </c>
      <c r="F16" s="2">
        <v>3</v>
      </c>
    </row>
    <row r="17" spans="1:6" x14ac:dyDescent="0.3">
      <c r="A17" s="13">
        <v>45673</v>
      </c>
      <c r="B17" s="5">
        <v>2025</v>
      </c>
      <c r="C17" s="5">
        <v>1</v>
      </c>
      <c r="D17" s="5" t="s">
        <v>906</v>
      </c>
      <c r="E17" s="5" t="s">
        <v>907</v>
      </c>
      <c r="F17" s="5">
        <v>3</v>
      </c>
    </row>
    <row r="18" spans="1:6" x14ac:dyDescent="0.3">
      <c r="A18" s="12">
        <v>45674</v>
      </c>
      <c r="B18" s="2">
        <v>2025</v>
      </c>
      <c r="C18" s="2">
        <v>1</v>
      </c>
      <c r="D18" s="2" t="s">
        <v>906</v>
      </c>
      <c r="E18" s="2" t="s">
        <v>907</v>
      </c>
      <c r="F18" s="2">
        <v>3</v>
      </c>
    </row>
    <row r="19" spans="1:6" x14ac:dyDescent="0.3">
      <c r="A19" s="13">
        <v>45675</v>
      </c>
      <c r="B19" s="5">
        <v>2025</v>
      </c>
      <c r="C19" s="5">
        <v>1</v>
      </c>
      <c r="D19" s="5" t="s">
        <v>906</v>
      </c>
      <c r="E19" s="5" t="s">
        <v>907</v>
      </c>
      <c r="F19" s="5">
        <v>3</v>
      </c>
    </row>
    <row r="20" spans="1:6" x14ac:dyDescent="0.3">
      <c r="A20" s="12">
        <v>45676</v>
      </c>
      <c r="B20" s="2">
        <v>2025</v>
      </c>
      <c r="C20" s="2">
        <v>1</v>
      </c>
      <c r="D20" s="2" t="s">
        <v>906</v>
      </c>
      <c r="E20" s="2" t="s">
        <v>907</v>
      </c>
      <c r="F20" s="2">
        <v>3</v>
      </c>
    </row>
    <row r="21" spans="1:6" x14ac:dyDescent="0.3">
      <c r="A21" s="13">
        <v>45677</v>
      </c>
      <c r="B21" s="5">
        <v>2025</v>
      </c>
      <c r="C21" s="5">
        <v>1</v>
      </c>
      <c r="D21" s="5" t="s">
        <v>906</v>
      </c>
      <c r="E21" s="5" t="s">
        <v>907</v>
      </c>
      <c r="F21" s="5">
        <v>4</v>
      </c>
    </row>
    <row r="22" spans="1:6" x14ac:dyDescent="0.3">
      <c r="A22" s="12">
        <v>45678</v>
      </c>
      <c r="B22" s="2">
        <v>2025</v>
      </c>
      <c r="C22" s="2">
        <v>1</v>
      </c>
      <c r="D22" s="2" t="s">
        <v>906</v>
      </c>
      <c r="E22" s="2" t="s">
        <v>907</v>
      </c>
      <c r="F22" s="2">
        <v>4</v>
      </c>
    </row>
    <row r="23" spans="1:6" x14ac:dyDescent="0.3">
      <c r="A23" s="13">
        <v>45679</v>
      </c>
      <c r="B23" s="5">
        <v>2025</v>
      </c>
      <c r="C23" s="5">
        <v>1</v>
      </c>
      <c r="D23" s="5" t="s">
        <v>906</v>
      </c>
      <c r="E23" s="5" t="s">
        <v>907</v>
      </c>
      <c r="F23" s="5">
        <v>4</v>
      </c>
    </row>
    <row r="24" spans="1:6" x14ac:dyDescent="0.3">
      <c r="A24" s="12">
        <v>45680</v>
      </c>
      <c r="B24" s="2">
        <v>2025</v>
      </c>
      <c r="C24" s="2">
        <v>1</v>
      </c>
      <c r="D24" s="2" t="s">
        <v>906</v>
      </c>
      <c r="E24" s="2" t="s">
        <v>907</v>
      </c>
      <c r="F24" s="2">
        <v>4</v>
      </c>
    </row>
    <row r="25" spans="1:6" x14ac:dyDescent="0.3">
      <c r="A25" s="13">
        <v>45681</v>
      </c>
      <c r="B25" s="5">
        <v>2025</v>
      </c>
      <c r="C25" s="5">
        <v>1</v>
      </c>
      <c r="D25" s="5" t="s">
        <v>906</v>
      </c>
      <c r="E25" s="5" t="s">
        <v>907</v>
      </c>
      <c r="F25" s="5">
        <v>4</v>
      </c>
    </row>
    <row r="26" spans="1:6" x14ac:dyDescent="0.3">
      <c r="A26" s="12">
        <v>45682</v>
      </c>
      <c r="B26" s="2">
        <v>2025</v>
      </c>
      <c r="C26" s="2">
        <v>1</v>
      </c>
      <c r="D26" s="2" t="s">
        <v>906</v>
      </c>
      <c r="E26" s="2" t="s">
        <v>907</v>
      </c>
      <c r="F26" s="2">
        <v>4</v>
      </c>
    </row>
    <row r="27" spans="1:6" x14ac:dyDescent="0.3">
      <c r="A27" s="13">
        <v>45683</v>
      </c>
      <c r="B27" s="5">
        <v>2025</v>
      </c>
      <c r="C27" s="5">
        <v>1</v>
      </c>
      <c r="D27" s="5" t="s">
        <v>906</v>
      </c>
      <c r="E27" s="5" t="s">
        <v>907</v>
      </c>
      <c r="F27" s="5">
        <v>4</v>
      </c>
    </row>
    <row r="28" spans="1:6" x14ac:dyDescent="0.3">
      <c r="A28" s="12">
        <v>45684</v>
      </c>
      <c r="B28" s="2">
        <v>2025</v>
      </c>
      <c r="C28" s="2">
        <v>1</v>
      </c>
      <c r="D28" s="2" t="s">
        <v>906</v>
      </c>
      <c r="E28" s="2" t="s">
        <v>907</v>
      </c>
      <c r="F28" s="2">
        <v>5</v>
      </c>
    </row>
    <row r="29" spans="1:6" x14ac:dyDescent="0.3">
      <c r="A29" s="13">
        <v>45685</v>
      </c>
      <c r="B29" s="5">
        <v>2025</v>
      </c>
      <c r="C29" s="5">
        <v>1</v>
      </c>
      <c r="D29" s="5" t="s">
        <v>906</v>
      </c>
      <c r="E29" s="5" t="s">
        <v>907</v>
      </c>
      <c r="F29" s="5">
        <v>5</v>
      </c>
    </row>
    <row r="30" spans="1:6" x14ac:dyDescent="0.3">
      <c r="A30" s="12">
        <v>45686</v>
      </c>
      <c r="B30" s="2">
        <v>2025</v>
      </c>
      <c r="C30" s="2">
        <v>1</v>
      </c>
      <c r="D30" s="2" t="s">
        <v>906</v>
      </c>
      <c r="E30" s="2" t="s">
        <v>907</v>
      </c>
      <c r="F30" s="2">
        <v>5</v>
      </c>
    </row>
    <row r="31" spans="1:6" x14ac:dyDescent="0.3">
      <c r="A31" s="13">
        <v>45687</v>
      </c>
      <c r="B31" s="5">
        <v>2025</v>
      </c>
      <c r="C31" s="5">
        <v>1</v>
      </c>
      <c r="D31" s="5" t="s">
        <v>906</v>
      </c>
      <c r="E31" s="5" t="s">
        <v>907</v>
      </c>
      <c r="F31" s="5">
        <v>5</v>
      </c>
    </row>
    <row r="32" spans="1:6" x14ac:dyDescent="0.3">
      <c r="A32" s="12">
        <v>45688</v>
      </c>
      <c r="B32" s="2">
        <v>2025</v>
      </c>
      <c r="C32" s="2">
        <v>1</v>
      </c>
      <c r="D32" s="2" t="s">
        <v>906</v>
      </c>
      <c r="E32" s="2" t="s">
        <v>907</v>
      </c>
      <c r="F32" s="2">
        <v>5</v>
      </c>
    </row>
    <row r="33" spans="1:6" x14ac:dyDescent="0.3">
      <c r="A33" s="13">
        <v>45689</v>
      </c>
      <c r="B33" s="5">
        <v>2025</v>
      </c>
      <c r="C33" s="5">
        <v>2</v>
      </c>
      <c r="D33" s="5" t="s">
        <v>908</v>
      </c>
      <c r="E33" s="5" t="s">
        <v>907</v>
      </c>
      <c r="F33" s="5">
        <v>5</v>
      </c>
    </row>
    <row r="34" spans="1:6" x14ac:dyDescent="0.3">
      <c r="A34" s="12">
        <v>45690</v>
      </c>
      <c r="B34" s="2">
        <v>2025</v>
      </c>
      <c r="C34" s="2">
        <v>2</v>
      </c>
      <c r="D34" s="2" t="s">
        <v>908</v>
      </c>
      <c r="E34" s="2" t="s">
        <v>907</v>
      </c>
      <c r="F34" s="2">
        <v>5</v>
      </c>
    </row>
    <row r="35" spans="1:6" x14ac:dyDescent="0.3">
      <c r="A35" s="13">
        <v>45691</v>
      </c>
      <c r="B35" s="5">
        <v>2025</v>
      </c>
      <c r="C35" s="5">
        <v>2</v>
      </c>
      <c r="D35" s="5" t="s">
        <v>908</v>
      </c>
      <c r="E35" s="5" t="s">
        <v>907</v>
      </c>
      <c r="F35" s="5">
        <v>6</v>
      </c>
    </row>
    <row r="36" spans="1:6" x14ac:dyDescent="0.3">
      <c r="A36" s="12">
        <v>45692</v>
      </c>
      <c r="B36" s="2">
        <v>2025</v>
      </c>
      <c r="C36" s="2">
        <v>2</v>
      </c>
      <c r="D36" s="2" t="s">
        <v>908</v>
      </c>
      <c r="E36" s="2" t="s">
        <v>907</v>
      </c>
      <c r="F36" s="2">
        <v>6</v>
      </c>
    </row>
    <row r="37" spans="1:6" x14ac:dyDescent="0.3">
      <c r="A37" s="13">
        <v>45693</v>
      </c>
      <c r="B37" s="5">
        <v>2025</v>
      </c>
      <c r="C37" s="5">
        <v>2</v>
      </c>
      <c r="D37" s="5" t="s">
        <v>908</v>
      </c>
      <c r="E37" s="5" t="s">
        <v>907</v>
      </c>
      <c r="F37" s="5">
        <v>6</v>
      </c>
    </row>
    <row r="38" spans="1:6" x14ac:dyDescent="0.3">
      <c r="A38" s="12">
        <v>45694</v>
      </c>
      <c r="B38" s="2">
        <v>2025</v>
      </c>
      <c r="C38" s="2">
        <v>2</v>
      </c>
      <c r="D38" s="2" t="s">
        <v>908</v>
      </c>
      <c r="E38" s="2" t="s">
        <v>907</v>
      </c>
      <c r="F38" s="2">
        <v>6</v>
      </c>
    </row>
    <row r="39" spans="1:6" x14ac:dyDescent="0.3">
      <c r="A39" s="13">
        <v>45695</v>
      </c>
      <c r="B39" s="5">
        <v>2025</v>
      </c>
      <c r="C39" s="5">
        <v>2</v>
      </c>
      <c r="D39" s="5" t="s">
        <v>908</v>
      </c>
      <c r="E39" s="5" t="s">
        <v>907</v>
      </c>
      <c r="F39" s="5">
        <v>6</v>
      </c>
    </row>
    <row r="40" spans="1:6" x14ac:dyDescent="0.3">
      <c r="A40" s="12">
        <v>45696</v>
      </c>
      <c r="B40" s="2">
        <v>2025</v>
      </c>
      <c r="C40" s="2">
        <v>2</v>
      </c>
      <c r="D40" s="2" t="s">
        <v>908</v>
      </c>
      <c r="E40" s="2" t="s">
        <v>907</v>
      </c>
      <c r="F40" s="2">
        <v>6</v>
      </c>
    </row>
    <row r="41" spans="1:6" x14ac:dyDescent="0.3">
      <c r="A41" s="13">
        <v>45697</v>
      </c>
      <c r="B41" s="5">
        <v>2025</v>
      </c>
      <c r="C41" s="5">
        <v>2</v>
      </c>
      <c r="D41" s="5" t="s">
        <v>908</v>
      </c>
      <c r="E41" s="5" t="s">
        <v>907</v>
      </c>
      <c r="F41" s="5">
        <v>6</v>
      </c>
    </row>
    <row r="42" spans="1:6" x14ac:dyDescent="0.3">
      <c r="A42" s="12">
        <v>45698</v>
      </c>
      <c r="B42" s="2">
        <v>2025</v>
      </c>
      <c r="C42" s="2">
        <v>2</v>
      </c>
      <c r="D42" s="2" t="s">
        <v>908</v>
      </c>
      <c r="E42" s="2" t="s">
        <v>907</v>
      </c>
      <c r="F42" s="2">
        <v>7</v>
      </c>
    </row>
    <row r="43" spans="1:6" x14ac:dyDescent="0.3">
      <c r="A43" s="13">
        <v>45699</v>
      </c>
      <c r="B43" s="5">
        <v>2025</v>
      </c>
      <c r="C43" s="5">
        <v>2</v>
      </c>
      <c r="D43" s="5" t="s">
        <v>908</v>
      </c>
      <c r="E43" s="5" t="s">
        <v>907</v>
      </c>
      <c r="F43" s="5">
        <v>7</v>
      </c>
    </row>
    <row r="44" spans="1:6" x14ac:dyDescent="0.3">
      <c r="A44" s="12">
        <v>45700</v>
      </c>
      <c r="B44" s="2">
        <v>2025</v>
      </c>
      <c r="C44" s="2">
        <v>2</v>
      </c>
      <c r="D44" s="2" t="s">
        <v>908</v>
      </c>
      <c r="E44" s="2" t="s">
        <v>907</v>
      </c>
      <c r="F44" s="2">
        <v>7</v>
      </c>
    </row>
    <row r="45" spans="1:6" x14ac:dyDescent="0.3">
      <c r="A45" s="13">
        <v>45701</v>
      </c>
      <c r="B45" s="5">
        <v>2025</v>
      </c>
      <c r="C45" s="5">
        <v>2</v>
      </c>
      <c r="D45" s="5" t="s">
        <v>908</v>
      </c>
      <c r="E45" s="5" t="s">
        <v>907</v>
      </c>
      <c r="F45" s="5">
        <v>7</v>
      </c>
    </row>
    <row r="46" spans="1:6" x14ac:dyDescent="0.3">
      <c r="A46" s="12">
        <v>45702</v>
      </c>
      <c r="B46" s="2">
        <v>2025</v>
      </c>
      <c r="C46" s="2">
        <v>2</v>
      </c>
      <c r="D46" s="2" t="s">
        <v>908</v>
      </c>
      <c r="E46" s="2" t="s">
        <v>907</v>
      </c>
      <c r="F46" s="2">
        <v>7</v>
      </c>
    </row>
    <row r="47" spans="1:6" x14ac:dyDescent="0.3">
      <c r="A47" s="13">
        <v>45703</v>
      </c>
      <c r="B47" s="5">
        <v>2025</v>
      </c>
      <c r="C47" s="5">
        <v>2</v>
      </c>
      <c r="D47" s="5" t="s">
        <v>908</v>
      </c>
      <c r="E47" s="5" t="s">
        <v>907</v>
      </c>
      <c r="F47" s="5">
        <v>7</v>
      </c>
    </row>
    <row r="48" spans="1:6" x14ac:dyDescent="0.3">
      <c r="A48" s="12">
        <v>45704</v>
      </c>
      <c r="B48" s="2">
        <v>2025</v>
      </c>
      <c r="C48" s="2">
        <v>2</v>
      </c>
      <c r="D48" s="2" t="s">
        <v>908</v>
      </c>
      <c r="E48" s="2" t="s">
        <v>907</v>
      </c>
      <c r="F48" s="2">
        <v>7</v>
      </c>
    </row>
    <row r="49" spans="1:6" x14ac:dyDescent="0.3">
      <c r="A49" s="13">
        <v>45705</v>
      </c>
      <c r="B49" s="5">
        <v>2025</v>
      </c>
      <c r="C49" s="5">
        <v>2</v>
      </c>
      <c r="D49" s="5" t="s">
        <v>908</v>
      </c>
      <c r="E49" s="5" t="s">
        <v>907</v>
      </c>
      <c r="F49" s="5">
        <v>8</v>
      </c>
    </row>
    <row r="50" spans="1:6" x14ac:dyDescent="0.3">
      <c r="A50" s="12">
        <v>45706</v>
      </c>
      <c r="B50" s="2">
        <v>2025</v>
      </c>
      <c r="C50" s="2">
        <v>2</v>
      </c>
      <c r="D50" s="2" t="s">
        <v>908</v>
      </c>
      <c r="E50" s="2" t="s">
        <v>907</v>
      </c>
      <c r="F50" s="2">
        <v>8</v>
      </c>
    </row>
    <row r="51" spans="1:6" x14ac:dyDescent="0.3">
      <c r="A51" s="13">
        <v>45707</v>
      </c>
      <c r="B51" s="5">
        <v>2025</v>
      </c>
      <c r="C51" s="5">
        <v>2</v>
      </c>
      <c r="D51" s="5" t="s">
        <v>908</v>
      </c>
      <c r="E51" s="5" t="s">
        <v>907</v>
      </c>
      <c r="F51" s="5">
        <v>8</v>
      </c>
    </row>
    <row r="52" spans="1:6" x14ac:dyDescent="0.3">
      <c r="A52" s="12">
        <v>45708</v>
      </c>
      <c r="B52" s="2">
        <v>2025</v>
      </c>
      <c r="C52" s="2">
        <v>2</v>
      </c>
      <c r="D52" s="2" t="s">
        <v>908</v>
      </c>
      <c r="E52" s="2" t="s">
        <v>907</v>
      </c>
      <c r="F52" s="2">
        <v>8</v>
      </c>
    </row>
    <row r="53" spans="1:6" x14ac:dyDescent="0.3">
      <c r="A53" s="13">
        <v>45709</v>
      </c>
      <c r="B53" s="5">
        <v>2025</v>
      </c>
      <c r="C53" s="5">
        <v>2</v>
      </c>
      <c r="D53" s="5" t="s">
        <v>908</v>
      </c>
      <c r="E53" s="5" t="s">
        <v>907</v>
      </c>
      <c r="F53" s="5">
        <v>8</v>
      </c>
    </row>
    <row r="54" spans="1:6" x14ac:dyDescent="0.3">
      <c r="A54" s="12">
        <v>45710</v>
      </c>
      <c r="B54" s="2">
        <v>2025</v>
      </c>
      <c r="C54" s="2">
        <v>2</v>
      </c>
      <c r="D54" s="2" t="s">
        <v>908</v>
      </c>
      <c r="E54" s="2" t="s">
        <v>907</v>
      </c>
      <c r="F54" s="2">
        <v>8</v>
      </c>
    </row>
    <row r="55" spans="1:6" x14ac:dyDescent="0.3">
      <c r="A55" s="13">
        <v>45711</v>
      </c>
      <c r="B55" s="5">
        <v>2025</v>
      </c>
      <c r="C55" s="5">
        <v>2</v>
      </c>
      <c r="D55" s="5" t="s">
        <v>908</v>
      </c>
      <c r="E55" s="5" t="s">
        <v>907</v>
      </c>
      <c r="F55" s="5">
        <v>8</v>
      </c>
    </row>
    <row r="56" spans="1:6" x14ac:dyDescent="0.3">
      <c r="A56" s="12">
        <v>45712</v>
      </c>
      <c r="B56" s="2">
        <v>2025</v>
      </c>
      <c r="C56" s="2">
        <v>2</v>
      </c>
      <c r="D56" s="2" t="s">
        <v>908</v>
      </c>
      <c r="E56" s="2" t="s">
        <v>907</v>
      </c>
      <c r="F56" s="2">
        <v>9</v>
      </c>
    </row>
    <row r="57" spans="1:6" x14ac:dyDescent="0.3">
      <c r="A57" s="13">
        <v>45713</v>
      </c>
      <c r="B57" s="5">
        <v>2025</v>
      </c>
      <c r="C57" s="5">
        <v>2</v>
      </c>
      <c r="D57" s="5" t="s">
        <v>908</v>
      </c>
      <c r="E57" s="5" t="s">
        <v>907</v>
      </c>
      <c r="F57" s="5">
        <v>9</v>
      </c>
    </row>
    <row r="58" spans="1:6" x14ac:dyDescent="0.3">
      <c r="A58" s="12">
        <v>45714</v>
      </c>
      <c r="B58" s="2">
        <v>2025</v>
      </c>
      <c r="C58" s="2">
        <v>2</v>
      </c>
      <c r="D58" s="2" t="s">
        <v>908</v>
      </c>
      <c r="E58" s="2" t="s">
        <v>907</v>
      </c>
      <c r="F58" s="2">
        <v>9</v>
      </c>
    </row>
    <row r="59" spans="1:6" x14ac:dyDescent="0.3">
      <c r="A59" s="13">
        <v>45715</v>
      </c>
      <c r="B59" s="5">
        <v>2025</v>
      </c>
      <c r="C59" s="5">
        <v>2</v>
      </c>
      <c r="D59" s="5" t="s">
        <v>908</v>
      </c>
      <c r="E59" s="5" t="s">
        <v>907</v>
      </c>
      <c r="F59" s="5">
        <v>9</v>
      </c>
    </row>
    <row r="60" spans="1:6" x14ac:dyDescent="0.3">
      <c r="A60" s="12">
        <v>45716</v>
      </c>
      <c r="B60" s="2">
        <v>2025</v>
      </c>
      <c r="C60" s="2">
        <v>2</v>
      </c>
      <c r="D60" s="2" t="s">
        <v>908</v>
      </c>
      <c r="E60" s="2" t="s">
        <v>907</v>
      </c>
      <c r="F60" s="2">
        <v>9</v>
      </c>
    </row>
    <row r="61" spans="1:6" x14ac:dyDescent="0.3">
      <c r="A61" s="13">
        <v>45717</v>
      </c>
      <c r="B61" s="5">
        <v>2025</v>
      </c>
      <c r="C61" s="5">
        <v>3</v>
      </c>
      <c r="D61" s="5" t="s">
        <v>909</v>
      </c>
      <c r="E61" s="5" t="s">
        <v>907</v>
      </c>
      <c r="F61" s="5">
        <v>9</v>
      </c>
    </row>
    <row r="62" spans="1:6" x14ac:dyDescent="0.3">
      <c r="A62" s="12">
        <v>45718</v>
      </c>
      <c r="B62" s="2">
        <v>2025</v>
      </c>
      <c r="C62" s="2">
        <v>3</v>
      </c>
      <c r="D62" s="2" t="s">
        <v>909</v>
      </c>
      <c r="E62" s="2" t="s">
        <v>907</v>
      </c>
      <c r="F62" s="2">
        <v>9</v>
      </c>
    </row>
    <row r="63" spans="1:6" x14ac:dyDescent="0.3">
      <c r="A63" s="13">
        <v>45719</v>
      </c>
      <c r="B63" s="5">
        <v>2025</v>
      </c>
      <c r="C63" s="5">
        <v>3</v>
      </c>
      <c r="D63" s="5" t="s">
        <v>909</v>
      </c>
      <c r="E63" s="5" t="s">
        <v>907</v>
      </c>
      <c r="F63" s="5">
        <v>10</v>
      </c>
    </row>
    <row r="64" spans="1:6" x14ac:dyDescent="0.3">
      <c r="A64" s="12">
        <v>45720</v>
      </c>
      <c r="B64" s="2">
        <v>2025</v>
      </c>
      <c r="C64" s="2">
        <v>3</v>
      </c>
      <c r="D64" s="2" t="s">
        <v>909</v>
      </c>
      <c r="E64" s="2" t="s">
        <v>907</v>
      </c>
      <c r="F64" s="2">
        <v>10</v>
      </c>
    </row>
    <row r="65" spans="1:6" x14ac:dyDescent="0.3">
      <c r="A65" s="13">
        <v>45721</v>
      </c>
      <c r="B65" s="5">
        <v>2025</v>
      </c>
      <c r="C65" s="5">
        <v>3</v>
      </c>
      <c r="D65" s="5" t="s">
        <v>909</v>
      </c>
      <c r="E65" s="5" t="s">
        <v>907</v>
      </c>
      <c r="F65" s="5">
        <v>10</v>
      </c>
    </row>
    <row r="66" spans="1:6" x14ac:dyDescent="0.3">
      <c r="A66" s="12">
        <v>45722</v>
      </c>
      <c r="B66" s="2">
        <v>2025</v>
      </c>
      <c r="C66" s="2">
        <v>3</v>
      </c>
      <c r="D66" s="2" t="s">
        <v>909</v>
      </c>
      <c r="E66" s="2" t="s">
        <v>907</v>
      </c>
      <c r="F66" s="2">
        <v>10</v>
      </c>
    </row>
    <row r="67" spans="1:6" x14ac:dyDescent="0.3">
      <c r="A67" s="13">
        <v>45723</v>
      </c>
      <c r="B67" s="5">
        <v>2025</v>
      </c>
      <c r="C67" s="5">
        <v>3</v>
      </c>
      <c r="D67" s="5" t="s">
        <v>909</v>
      </c>
      <c r="E67" s="5" t="s">
        <v>907</v>
      </c>
      <c r="F67" s="5">
        <v>10</v>
      </c>
    </row>
    <row r="68" spans="1:6" x14ac:dyDescent="0.3">
      <c r="A68" s="12">
        <v>45724</v>
      </c>
      <c r="B68" s="2">
        <v>2025</v>
      </c>
      <c r="C68" s="2">
        <v>3</v>
      </c>
      <c r="D68" s="2" t="s">
        <v>909</v>
      </c>
      <c r="E68" s="2" t="s">
        <v>907</v>
      </c>
      <c r="F68" s="2">
        <v>10</v>
      </c>
    </row>
    <row r="69" spans="1:6" x14ac:dyDescent="0.3">
      <c r="A69" s="13">
        <v>45725</v>
      </c>
      <c r="B69" s="5">
        <v>2025</v>
      </c>
      <c r="C69" s="5">
        <v>3</v>
      </c>
      <c r="D69" s="5" t="s">
        <v>909</v>
      </c>
      <c r="E69" s="5" t="s">
        <v>907</v>
      </c>
      <c r="F69" s="5">
        <v>10</v>
      </c>
    </row>
    <row r="70" spans="1:6" x14ac:dyDescent="0.3">
      <c r="A70" s="12">
        <v>45726</v>
      </c>
      <c r="B70" s="2">
        <v>2025</v>
      </c>
      <c r="C70" s="2">
        <v>3</v>
      </c>
      <c r="D70" s="2" t="s">
        <v>909</v>
      </c>
      <c r="E70" s="2" t="s">
        <v>907</v>
      </c>
      <c r="F70" s="2">
        <v>11</v>
      </c>
    </row>
    <row r="71" spans="1:6" x14ac:dyDescent="0.3">
      <c r="A71" s="13">
        <v>45727</v>
      </c>
      <c r="B71" s="5">
        <v>2025</v>
      </c>
      <c r="C71" s="5">
        <v>3</v>
      </c>
      <c r="D71" s="5" t="s">
        <v>909</v>
      </c>
      <c r="E71" s="5" t="s">
        <v>907</v>
      </c>
      <c r="F71" s="5">
        <v>11</v>
      </c>
    </row>
    <row r="72" spans="1:6" x14ac:dyDescent="0.3">
      <c r="A72" s="12">
        <v>45728</v>
      </c>
      <c r="B72" s="2">
        <v>2025</v>
      </c>
      <c r="C72" s="2">
        <v>3</v>
      </c>
      <c r="D72" s="2" t="s">
        <v>909</v>
      </c>
      <c r="E72" s="2" t="s">
        <v>907</v>
      </c>
      <c r="F72" s="2">
        <v>11</v>
      </c>
    </row>
    <row r="73" spans="1:6" x14ac:dyDescent="0.3">
      <c r="A73" s="13">
        <v>45729</v>
      </c>
      <c r="B73" s="5">
        <v>2025</v>
      </c>
      <c r="C73" s="5">
        <v>3</v>
      </c>
      <c r="D73" s="5" t="s">
        <v>909</v>
      </c>
      <c r="E73" s="5" t="s">
        <v>907</v>
      </c>
      <c r="F73" s="5">
        <v>11</v>
      </c>
    </row>
    <row r="74" spans="1:6" x14ac:dyDescent="0.3">
      <c r="A74" s="12">
        <v>45730</v>
      </c>
      <c r="B74" s="2">
        <v>2025</v>
      </c>
      <c r="C74" s="2">
        <v>3</v>
      </c>
      <c r="D74" s="2" t="s">
        <v>909</v>
      </c>
      <c r="E74" s="2" t="s">
        <v>907</v>
      </c>
      <c r="F74" s="2">
        <v>11</v>
      </c>
    </row>
    <row r="75" spans="1:6" x14ac:dyDescent="0.3">
      <c r="A75" s="13">
        <v>45731</v>
      </c>
      <c r="B75" s="5">
        <v>2025</v>
      </c>
      <c r="C75" s="5">
        <v>3</v>
      </c>
      <c r="D75" s="5" t="s">
        <v>909</v>
      </c>
      <c r="E75" s="5" t="s">
        <v>907</v>
      </c>
      <c r="F75" s="5">
        <v>11</v>
      </c>
    </row>
    <row r="76" spans="1:6" x14ac:dyDescent="0.3">
      <c r="A76" s="12">
        <v>45732</v>
      </c>
      <c r="B76" s="2">
        <v>2025</v>
      </c>
      <c r="C76" s="2">
        <v>3</v>
      </c>
      <c r="D76" s="2" t="s">
        <v>909</v>
      </c>
      <c r="E76" s="2" t="s">
        <v>907</v>
      </c>
      <c r="F76" s="2">
        <v>11</v>
      </c>
    </row>
    <row r="77" spans="1:6" x14ac:dyDescent="0.3">
      <c r="A77" s="13">
        <v>45733</v>
      </c>
      <c r="B77" s="5">
        <v>2025</v>
      </c>
      <c r="C77" s="5">
        <v>3</v>
      </c>
      <c r="D77" s="5" t="s">
        <v>909</v>
      </c>
      <c r="E77" s="5" t="s">
        <v>907</v>
      </c>
      <c r="F77" s="5">
        <v>12</v>
      </c>
    </row>
    <row r="78" spans="1:6" x14ac:dyDescent="0.3">
      <c r="A78" s="12">
        <v>45734</v>
      </c>
      <c r="B78" s="2">
        <v>2025</v>
      </c>
      <c r="C78" s="2">
        <v>3</v>
      </c>
      <c r="D78" s="2" t="s">
        <v>909</v>
      </c>
      <c r="E78" s="2" t="s">
        <v>907</v>
      </c>
      <c r="F78" s="2">
        <v>12</v>
      </c>
    </row>
    <row r="79" spans="1:6" x14ac:dyDescent="0.3">
      <c r="A79" s="13">
        <v>45735</v>
      </c>
      <c r="B79" s="5">
        <v>2025</v>
      </c>
      <c r="C79" s="5">
        <v>3</v>
      </c>
      <c r="D79" s="5" t="s">
        <v>909</v>
      </c>
      <c r="E79" s="5" t="s">
        <v>907</v>
      </c>
      <c r="F79" s="5">
        <v>12</v>
      </c>
    </row>
    <row r="80" spans="1:6" x14ac:dyDescent="0.3">
      <c r="A80" s="12">
        <v>45736</v>
      </c>
      <c r="B80" s="2">
        <v>2025</v>
      </c>
      <c r="C80" s="2">
        <v>3</v>
      </c>
      <c r="D80" s="2" t="s">
        <v>909</v>
      </c>
      <c r="E80" s="2" t="s">
        <v>907</v>
      </c>
      <c r="F80" s="2">
        <v>12</v>
      </c>
    </row>
    <row r="81" spans="1:6" x14ac:dyDescent="0.3">
      <c r="A81" s="13">
        <v>45737</v>
      </c>
      <c r="B81" s="5">
        <v>2025</v>
      </c>
      <c r="C81" s="5">
        <v>3</v>
      </c>
      <c r="D81" s="5" t="s">
        <v>909</v>
      </c>
      <c r="E81" s="5" t="s">
        <v>907</v>
      </c>
      <c r="F81" s="5">
        <v>12</v>
      </c>
    </row>
    <row r="82" spans="1:6" x14ac:dyDescent="0.3">
      <c r="A82" s="12">
        <v>45738</v>
      </c>
      <c r="B82" s="2">
        <v>2025</v>
      </c>
      <c r="C82" s="2">
        <v>3</v>
      </c>
      <c r="D82" s="2" t="s">
        <v>909</v>
      </c>
      <c r="E82" s="2" t="s">
        <v>907</v>
      </c>
      <c r="F82" s="2">
        <v>12</v>
      </c>
    </row>
    <row r="83" spans="1:6" x14ac:dyDescent="0.3">
      <c r="A83" s="13">
        <v>45739</v>
      </c>
      <c r="B83" s="5">
        <v>2025</v>
      </c>
      <c r="C83" s="5">
        <v>3</v>
      </c>
      <c r="D83" s="5" t="s">
        <v>909</v>
      </c>
      <c r="E83" s="5" t="s">
        <v>907</v>
      </c>
      <c r="F83" s="5">
        <v>12</v>
      </c>
    </row>
    <row r="84" spans="1:6" x14ac:dyDescent="0.3">
      <c r="A84" s="12">
        <v>45740</v>
      </c>
      <c r="B84" s="2">
        <v>2025</v>
      </c>
      <c r="C84" s="2">
        <v>3</v>
      </c>
      <c r="D84" s="2" t="s">
        <v>909</v>
      </c>
      <c r="E84" s="2" t="s">
        <v>907</v>
      </c>
      <c r="F84" s="2">
        <v>13</v>
      </c>
    </row>
    <row r="85" spans="1:6" x14ac:dyDescent="0.3">
      <c r="A85" s="13">
        <v>45741</v>
      </c>
      <c r="B85" s="5">
        <v>2025</v>
      </c>
      <c r="C85" s="5">
        <v>3</v>
      </c>
      <c r="D85" s="5" t="s">
        <v>909</v>
      </c>
      <c r="E85" s="5" t="s">
        <v>907</v>
      </c>
      <c r="F85" s="5">
        <v>13</v>
      </c>
    </row>
    <row r="86" spans="1:6" x14ac:dyDescent="0.3">
      <c r="A86" s="12">
        <v>45742</v>
      </c>
      <c r="B86" s="2">
        <v>2025</v>
      </c>
      <c r="C86" s="2">
        <v>3</v>
      </c>
      <c r="D86" s="2" t="s">
        <v>909</v>
      </c>
      <c r="E86" s="2" t="s">
        <v>907</v>
      </c>
      <c r="F86" s="2">
        <v>13</v>
      </c>
    </row>
    <row r="87" spans="1:6" x14ac:dyDescent="0.3">
      <c r="A87" s="13">
        <v>45743</v>
      </c>
      <c r="B87" s="5">
        <v>2025</v>
      </c>
      <c r="C87" s="5">
        <v>3</v>
      </c>
      <c r="D87" s="5" t="s">
        <v>909</v>
      </c>
      <c r="E87" s="5" t="s">
        <v>907</v>
      </c>
      <c r="F87" s="5">
        <v>13</v>
      </c>
    </row>
    <row r="88" spans="1:6" x14ac:dyDescent="0.3">
      <c r="A88" s="12">
        <v>45744</v>
      </c>
      <c r="B88" s="2">
        <v>2025</v>
      </c>
      <c r="C88" s="2">
        <v>3</v>
      </c>
      <c r="D88" s="2" t="s">
        <v>909</v>
      </c>
      <c r="E88" s="2" t="s">
        <v>907</v>
      </c>
      <c r="F88" s="2">
        <v>13</v>
      </c>
    </row>
    <row r="89" spans="1:6" x14ac:dyDescent="0.3">
      <c r="A89" s="13">
        <v>45745</v>
      </c>
      <c r="B89" s="5">
        <v>2025</v>
      </c>
      <c r="C89" s="5">
        <v>3</v>
      </c>
      <c r="D89" s="5" t="s">
        <v>909</v>
      </c>
      <c r="E89" s="5" t="s">
        <v>907</v>
      </c>
      <c r="F89" s="5">
        <v>13</v>
      </c>
    </row>
    <row r="90" spans="1:6" x14ac:dyDescent="0.3">
      <c r="A90" s="12">
        <v>45746</v>
      </c>
      <c r="B90" s="2">
        <v>2025</v>
      </c>
      <c r="C90" s="2">
        <v>3</v>
      </c>
      <c r="D90" s="2" t="s">
        <v>909</v>
      </c>
      <c r="E90" s="2" t="s">
        <v>907</v>
      </c>
      <c r="F90" s="2">
        <v>13</v>
      </c>
    </row>
    <row r="91" spans="1:6" x14ac:dyDescent="0.3">
      <c r="A91" s="13">
        <v>45747</v>
      </c>
      <c r="B91" s="5">
        <v>2025</v>
      </c>
      <c r="C91" s="5">
        <v>3</v>
      </c>
      <c r="D91" s="5" t="s">
        <v>909</v>
      </c>
      <c r="E91" s="5" t="s">
        <v>907</v>
      </c>
      <c r="F91" s="5">
        <v>14</v>
      </c>
    </row>
    <row r="92" spans="1:6" x14ac:dyDescent="0.3">
      <c r="A92" s="12">
        <v>45748</v>
      </c>
      <c r="B92" s="2">
        <v>2025</v>
      </c>
      <c r="C92" s="2">
        <v>4</v>
      </c>
      <c r="D92" s="2" t="s">
        <v>910</v>
      </c>
      <c r="E92" s="2" t="s">
        <v>911</v>
      </c>
      <c r="F92" s="2">
        <v>14</v>
      </c>
    </row>
    <row r="93" spans="1:6" x14ac:dyDescent="0.3">
      <c r="A93" s="13">
        <v>45749</v>
      </c>
      <c r="B93" s="5">
        <v>2025</v>
      </c>
      <c r="C93" s="5">
        <v>4</v>
      </c>
      <c r="D93" s="5" t="s">
        <v>910</v>
      </c>
      <c r="E93" s="5" t="s">
        <v>911</v>
      </c>
      <c r="F93" s="5">
        <v>14</v>
      </c>
    </row>
    <row r="94" spans="1:6" x14ac:dyDescent="0.3">
      <c r="A94" s="12">
        <v>45750</v>
      </c>
      <c r="B94" s="2">
        <v>2025</v>
      </c>
      <c r="C94" s="2">
        <v>4</v>
      </c>
      <c r="D94" s="2" t="s">
        <v>910</v>
      </c>
      <c r="E94" s="2" t="s">
        <v>911</v>
      </c>
      <c r="F94" s="2">
        <v>14</v>
      </c>
    </row>
    <row r="95" spans="1:6" x14ac:dyDescent="0.3">
      <c r="A95" s="13">
        <v>45751</v>
      </c>
      <c r="B95" s="5">
        <v>2025</v>
      </c>
      <c r="C95" s="5">
        <v>4</v>
      </c>
      <c r="D95" s="5" t="s">
        <v>910</v>
      </c>
      <c r="E95" s="5" t="s">
        <v>911</v>
      </c>
      <c r="F95" s="5">
        <v>14</v>
      </c>
    </row>
    <row r="96" spans="1:6" x14ac:dyDescent="0.3">
      <c r="A96" s="12">
        <v>45752</v>
      </c>
      <c r="B96" s="2">
        <v>2025</v>
      </c>
      <c r="C96" s="2">
        <v>4</v>
      </c>
      <c r="D96" s="2" t="s">
        <v>910</v>
      </c>
      <c r="E96" s="2" t="s">
        <v>911</v>
      </c>
      <c r="F96" s="2">
        <v>14</v>
      </c>
    </row>
    <row r="97" spans="1:6" x14ac:dyDescent="0.3">
      <c r="A97" s="13">
        <v>45753</v>
      </c>
      <c r="B97" s="5">
        <v>2025</v>
      </c>
      <c r="C97" s="5">
        <v>4</v>
      </c>
      <c r="D97" s="5" t="s">
        <v>910</v>
      </c>
      <c r="E97" s="5" t="s">
        <v>911</v>
      </c>
      <c r="F97" s="5">
        <v>14</v>
      </c>
    </row>
    <row r="98" spans="1:6" x14ac:dyDescent="0.3">
      <c r="A98" s="12">
        <v>45754</v>
      </c>
      <c r="B98" s="2">
        <v>2025</v>
      </c>
      <c r="C98" s="2">
        <v>4</v>
      </c>
      <c r="D98" s="2" t="s">
        <v>910</v>
      </c>
      <c r="E98" s="2" t="s">
        <v>911</v>
      </c>
      <c r="F98" s="2">
        <v>15</v>
      </c>
    </row>
    <row r="99" spans="1:6" x14ac:dyDescent="0.3">
      <c r="A99" s="13">
        <v>45755</v>
      </c>
      <c r="B99" s="5">
        <v>2025</v>
      </c>
      <c r="C99" s="5">
        <v>4</v>
      </c>
      <c r="D99" s="5" t="s">
        <v>910</v>
      </c>
      <c r="E99" s="5" t="s">
        <v>911</v>
      </c>
      <c r="F99" s="5">
        <v>15</v>
      </c>
    </row>
    <row r="100" spans="1:6" x14ac:dyDescent="0.3">
      <c r="A100" s="12">
        <v>45756</v>
      </c>
      <c r="B100" s="2">
        <v>2025</v>
      </c>
      <c r="C100" s="2">
        <v>4</v>
      </c>
      <c r="D100" s="2" t="s">
        <v>910</v>
      </c>
      <c r="E100" s="2" t="s">
        <v>911</v>
      </c>
      <c r="F100" s="2">
        <v>15</v>
      </c>
    </row>
    <row r="101" spans="1:6" x14ac:dyDescent="0.3">
      <c r="A101" s="13">
        <v>45757</v>
      </c>
      <c r="B101" s="5">
        <v>2025</v>
      </c>
      <c r="C101" s="5">
        <v>4</v>
      </c>
      <c r="D101" s="5" t="s">
        <v>910</v>
      </c>
      <c r="E101" s="5" t="s">
        <v>911</v>
      </c>
      <c r="F101" s="5">
        <v>15</v>
      </c>
    </row>
    <row r="102" spans="1:6" x14ac:dyDescent="0.3">
      <c r="A102" s="12">
        <v>45758</v>
      </c>
      <c r="B102" s="2">
        <v>2025</v>
      </c>
      <c r="C102" s="2">
        <v>4</v>
      </c>
      <c r="D102" s="2" t="s">
        <v>910</v>
      </c>
      <c r="E102" s="2" t="s">
        <v>911</v>
      </c>
      <c r="F102" s="2">
        <v>15</v>
      </c>
    </row>
    <row r="103" spans="1:6" x14ac:dyDescent="0.3">
      <c r="A103" s="13">
        <v>45759</v>
      </c>
      <c r="B103" s="5">
        <v>2025</v>
      </c>
      <c r="C103" s="5">
        <v>4</v>
      </c>
      <c r="D103" s="5" t="s">
        <v>910</v>
      </c>
      <c r="E103" s="5" t="s">
        <v>911</v>
      </c>
      <c r="F103" s="5">
        <v>15</v>
      </c>
    </row>
    <row r="104" spans="1:6" x14ac:dyDescent="0.3">
      <c r="A104" s="12">
        <v>45760</v>
      </c>
      <c r="B104" s="2">
        <v>2025</v>
      </c>
      <c r="C104" s="2">
        <v>4</v>
      </c>
      <c r="D104" s="2" t="s">
        <v>910</v>
      </c>
      <c r="E104" s="2" t="s">
        <v>911</v>
      </c>
      <c r="F104" s="2">
        <v>15</v>
      </c>
    </row>
    <row r="105" spans="1:6" x14ac:dyDescent="0.3">
      <c r="A105" s="13">
        <v>45761</v>
      </c>
      <c r="B105" s="5">
        <v>2025</v>
      </c>
      <c r="C105" s="5">
        <v>4</v>
      </c>
      <c r="D105" s="5" t="s">
        <v>910</v>
      </c>
      <c r="E105" s="5" t="s">
        <v>911</v>
      </c>
      <c r="F105" s="5">
        <v>16</v>
      </c>
    </row>
    <row r="106" spans="1:6" x14ac:dyDescent="0.3">
      <c r="A106" s="12">
        <v>45762</v>
      </c>
      <c r="B106" s="2">
        <v>2025</v>
      </c>
      <c r="C106" s="2">
        <v>4</v>
      </c>
      <c r="D106" s="2" t="s">
        <v>910</v>
      </c>
      <c r="E106" s="2" t="s">
        <v>911</v>
      </c>
      <c r="F106" s="2">
        <v>16</v>
      </c>
    </row>
    <row r="107" spans="1:6" x14ac:dyDescent="0.3">
      <c r="A107" s="13">
        <v>45763</v>
      </c>
      <c r="B107" s="5">
        <v>2025</v>
      </c>
      <c r="C107" s="5">
        <v>4</v>
      </c>
      <c r="D107" s="5" t="s">
        <v>910</v>
      </c>
      <c r="E107" s="5" t="s">
        <v>911</v>
      </c>
      <c r="F107" s="5">
        <v>16</v>
      </c>
    </row>
    <row r="108" spans="1:6" x14ac:dyDescent="0.3">
      <c r="A108" s="12">
        <v>45764</v>
      </c>
      <c r="B108" s="2">
        <v>2025</v>
      </c>
      <c r="C108" s="2">
        <v>4</v>
      </c>
      <c r="D108" s="2" t="s">
        <v>910</v>
      </c>
      <c r="E108" s="2" t="s">
        <v>911</v>
      </c>
      <c r="F108" s="2">
        <v>16</v>
      </c>
    </row>
    <row r="109" spans="1:6" x14ac:dyDescent="0.3">
      <c r="A109" s="13">
        <v>45765</v>
      </c>
      <c r="B109" s="5">
        <v>2025</v>
      </c>
      <c r="C109" s="5">
        <v>4</v>
      </c>
      <c r="D109" s="5" t="s">
        <v>910</v>
      </c>
      <c r="E109" s="5" t="s">
        <v>911</v>
      </c>
      <c r="F109" s="5">
        <v>16</v>
      </c>
    </row>
    <row r="110" spans="1:6" x14ac:dyDescent="0.3">
      <c r="A110" s="12">
        <v>45766</v>
      </c>
      <c r="B110" s="2">
        <v>2025</v>
      </c>
      <c r="C110" s="2">
        <v>4</v>
      </c>
      <c r="D110" s="2" t="s">
        <v>910</v>
      </c>
      <c r="E110" s="2" t="s">
        <v>911</v>
      </c>
      <c r="F110" s="2">
        <v>16</v>
      </c>
    </row>
    <row r="111" spans="1:6" x14ac:dyDescent="0.3">
      <c r="A111" s="13">
        <v>45767</v>
      </c>
      <c r="B111" s="5">
        <v>2025</v>
      </c>
      <c r="C111" s="5">
        <v>4</v>
      </c>
      <c r="D111" s="5" t="s">
        <v>910</v>
      </c>
      <c r="E111" s="5" t="s">
        <v>911</v>
      </c>
      <c r="F111" s="5">
        <v>16</v>
      </c>
    </row>
    <row r="112" spans="1:6" x14ac:dyDescent="0.3">
      <c r="A112" s="12">
        <v>45768</v>
      </c>
      <c r="B112" s="2">
        <v>2025</v>
      </c>
      <c r="C112" s="2">
        <v>4</v>
      </c>
      <c r="D112" s="2" t="s">
        <v>910</v>
      </c>
      <c r="E112" s="2" t="s">
        <v>911</v>
      </c>
      <c r="F112" s="2">
        <v>17</v>
      </c>
    </row>
    <row r="113" spans="1:6" x14ac:dyDescent="0.3">
      <c r="A113" s="13">
        <v>45769</v>
      </c>
      <c r="B113" s="5">
        <v>2025</v>
      </c>
      <c r="C113" s="5">
        <v>4</v>
      </c>
      <c r="D113" s="5" t="s">
        <v>910</v>
      </c>
      <c r="E113" s="5" t="s">
        <v>911</v>
      </c>
      <c r="F113" s="5">
        <v>17</v>
      </c>
    </row>
    <row r="114" spans="1:6" x14ac:dyDescent="0.3">
      <c r="A114" s="12">
        <v>45770</v>
      </c>
      <c r="B114" s="2">
        <v>2025</v>
      </c>
      <c r="C114" s="2">
        <v>4</v>
      </c>
      <c r="D114" s="2" t="s">
        <v>910</v>
      </c>
      <c r="E114" s="2" t="s">
        <v>911</v>
      </c>
      <c r="F114" s="2">
        <v>17</v>
      </c>
    </row>
    <row r="115" spans="1:6" x14ac:dyDescent="0.3">
      <c r="A115" s="13">
        <v>45771</v>
      </c>
      <c r="B115" s="5">
        <v>2025</v>
      </c>
      <c r="C115" s="5">
        <v>4</v>
      </c>
      <c r="D115" s="5" t="s">
        <v>910</v>
      </c>
      <c r="E115" s="5" t="s">
        <v>911</v>
      </c>
      <c r="F115" s="5">
        <v>17</v>
      </c>
    </row>
    <row r="116" spans="1:6" x14ac:dyDescent="0.3">
      <c r="A116" s="12">
        <v>45772</v>
      </c>
      <c r="B116" s="2">
        <v>2025</v>
      </c>
      <c r="C116" s="2">
        <v>4</v>
      </c>
      <c r="D116" s="2" t="s">
        <v>910</v>
      </c>
      <c r="E116" s="2" t="s">
        <v>911</v>
      </c>
      <c r="F116" s="2">
        <v>17</v>
      </c>
    </row>
    <row r="117" spans="1:6" x14ac:dyDescent="0.3">
      <c r="A117" s="13">
        <v>45773</v>
      </c>
      <c r="B117" s="5">
        <v>2025</v>
      </c>
      <c r="C117" s="5">
        <v>4</v>
      </c>
      <c r="D117" s="5" t="s">
        <v>910</v>
      </c>
      <c r="E117" s="5" t="s">
        <v>911</v>
      </c>
      <c r="F117" s="5">
        <v>17</v>
      </c>
    </row>
    <row r="118" spans="1:6" x14ac:dyDescent="0.3">
      <c r="A118" s="12">
        <v>45774</v>
      </c>
      <c r="B118" s="2">
        <v>2025</v>
      </c>
      <c r="C118" s="2">
        <v>4</v>
      </c>
      <c r="D118" s="2" t="s">
        <v>910</v>
      </c>
      <c r="E118" s="2" t="s">
        <v>911</v>
      </c>
      <c r="F118" s="2">
        <v>17</v>
      </c>
    </row>
    <row r="119" spans="1:6" x14ac:dyDescent="0.3">
      <c r="A119" s="13">
        <v>45775</v>
      </c>
      <c r="B119" s="5">
        <v>2025</v>
      </c>
      <c r="C119" s="5">
        <v>4</v>
      </c>
      <c r="D119" s="5" t="s">
        <v>910</v>
      </c>
      <c r="E119" s="5" t="s">
        <v>911</v>
      </c>
      <c r="F119" s="5">
        <v>18</v>
      </c>
    </row>
    <row r="120" spans="1:6" x14ac:dyDescent="0.3">
      <c r="A120" s="12">
        <v>45776</v>
      </c>
      <c r="B120" s="2">
        <v>2025</v>
      </c>
      <c r="C120" s="2">
        <v>4</v>
      </c>
      <c r="D120" s="2" t="s">
        <v>910</v>
      </c>
      <c r="E120" s="2" t="s">
        <v>911</v>
      </c>
      <c r="F120" s="2">
        <v>18</v>
      </c>
    </row>
    <row r="121" spans="1:6" x14ac:dyDescent="0.3">
      <c r="A121" s="13">
        <v>45777</v>
      </c>
      <c r="B121" s="5">
        <v>2025</v>
      </c>
      <c r="C121" s="5">
        <v>4</v>
      </c>
      <c r="D121" s="5" t="s">
        <v>910</v>
      </c>
      <c r="E121" s="5" t="s">
        <v>911</v>
      </c>
      <c r="F121" s="5">
        <v>18</v>
      </c>
    </row>
    <row r="122" spans="1:6" x14ac:dyDescent="0.3">
      <c r="A122" s="12">
        <v>45778</v>
      </c>
      <c r="B122" s="2">
        <v>2025</v>
      </c>
      <c r="C122" s="2">
        <v>5</v>
      </c>
      <c r="D122" s="2" t="s">
        <v>912</v>
      </c>
      <c r="E122" s="2" t="s">
        <v>911</v>
      </c>
      <c r="F122" s="2">
        <v>18</v>
      </c>
    </row>
    <row r="123" spans="1:6" x14ac:dyDescent="0.3">
      <c r="A123" s="13">
        <v>45779</v>
      </c>
      <c r="B123" s="5">
        <v>2025</v>
      </c>
      <c r="C123" s="5">
        <v>5</v>
      </c>
      <c r="D123" s="5" t="s">
        <v>912</v>
      </c>
      <c r="E123" s="5" t="s">
        <v>911</v>
      </c>
      <c r="F123" s="5">
        <v>18</v>
      </c>
    </row>
    <row r="124" spans="1:6" x14ac:dyDescent="0.3">
      <c r="A124" s="12">
        <v>45780</v>
      </c>
      <c r="B124" s="2">
        <v>2025</v>
      </c>
      <c r="C124" s="2">
        <v>5</v>
      </c>
      <c r="D124" s="2" t="s">
        <v>912</v>
      </c>
      <c r="E124" s="2" t="s">
        <v>911</v>
      </c>
      <c r="F124" s="2">
        <v>18</v>
      </c>
    </row>
    <row r="125" spans="1:6" x14ac:dyDescent="0.3">
      <c r="A125" s="13">
        <v>45781</v>
      </c>
      <c r="B125" s="5">
        <v>2025</v>
      </c>
      <c r="C125" s="5">
        <v>5</v>
      </c>
      <c r="D125" s="5" t="s">
        <v>912</v>
      </c>
      <c r="E125" s="5" t="s">
        <v>911</v>
      </c>
      <c r="F125" s="5">
        <v>18</v>
      </c>
    </row>
    <row r="126" spans="1:6" x14ac:dyDescent="0.3">
      <c r="A126" s="12">
        <v>45782</v>
      </c>
      <c r="B126" s="2">
        <v>2025</v>
      </c>
      <c r="C126" s="2">
        <v>5</v>
      </c>
      <c r="D126" s="2" t="s">
        <v>912</v>
      </c>
      <c r="E126" s="2" t="s">
        <v>911</v>
      </c>
      <c r="F126" s="2">
        <v>19</v>
      </c>
    </row>
    <row r="127" spans="1:6" x14ac:dyDescent="0.3">
      <c r="A127" s="13">
        <v>45783</v>
      </c>
      <c r="B127" s="5">
        <v>2025</v>
      </c>
      <c r="C127" s="5">
        <v>5</v>
      </c>
      <c r="D127" s="5" t="s">
        <v>912</v>
      </c>
      <c r="E127" s="5" t="s">
        <v>911</v>
      </c>
      <c r="F127" s="5">
        <v>19</v>
      </c>
    </row>
    <row r="128" spans="1:6" x14ac:dyDescent="0.3">
      <c r="A128" s="12">
        <v>45784</v>
      </c>
      <c r="B128" s="2">
        <v>2025</v>
      </c>
      <c r="C128" s="2">
        <v>5</v>
      </c>
      <c r="D128" s="2" t="s">
        <v>912</v>
      </c>
      <c r="E128" s="2" t="s">
        <v>911</v>
      </c>
      <c r="F128" s="2">
        <v>19</v>
      </c>
    </row>
    <row r="129" spans="1:6" x14ac:dyDescent="0.3">
      <c r="A129" s="13">
        <v>45785</v>
      </c>
      <c r="B129" s="5">
        <v>2025</v>
      </c>
      <c r="C129" s="5">
        <v>5</v>
      </c>
      <c r="D129" s="5" t="s">
        <v>912</v>
      </c>
      <c r="E129" s="5" t="s">
        <v>911</v>
      </c>
      <c r="F129" s="5">
        <v>19</v>
      </c>
    </row>
    <row r="130" spans="1:6" x14ac:dyDescent="0.3">
      <c r="A130" s="12">
        <v>45786</v>
      </c>
      <c r="B130" s="2">
        <v>2025</v>
      </c>
      <c r="C130" s="2">
        <v>5</v>
      </c>
      <c r="D130" s="2" t="s">
        <v>912</v>
      </c>
      <c r="E130" s="2" t="s">
        <v>911</v>
      </c>
      <c r="F130" s="2">
        <v>19</v>
      </c>
    </row>
    <row r="131" spans="1:6" x14ac:dyDescent="0.3">
      <c r="A131" s="13">
        <v>45787</v>
      </c>
      <c r="B131" s="5">
        <v>2025</v>
      </c>
      <c r="C131" s="5">
        <v>5</v>
      </c>
      <c r="D131" s="5" t="s">
        <v>912</v>
      </c>
      <c r="E131" s="5" t="s">
        <v>911</v>
      </c>
      <c r="F131" s="5">
        <v>19</v>
      </c>
    </row>
    <row r="132" spans="1:6" x14ac:dyDescent="0.3">
      <c r="A132" s="12">
        <v>45788</v>
      </c>
      <c r="B132" s="2">
        <v>2025</v>
      </c>
      <c r="C132" s="2">
        <v>5</v>
      </c>
      <c r="D132" s="2" t="s">
        <v>912</v>
      </c>
      <c r="E132" s="2" t="s">
        <v>911</v>
      </c>
      <c r="F132" s="2">
        <v>19</v>
      </c>
    </row>
    <row r="133" spans="1:6" x14ac:dyDescent="0.3">
      <c r="A133" s="13">
        <v>45789</v>
      </c>
      <c r="B133" s="5">
        <v>2025</v>
      </c>
      <c r="C133" s="5">
        <v>5</v>
      </c>
      <c r="D133" s="5" t="s">
        <v>912</v>
      </c>
      <c r="E133" s="5" t="s">
        <v>911</v>
      </c>
      <c r="F133" s="5">
        <v>20</v>
      </c>
    </row>
    <row r="134" spans="1:6" x14ac:dyDescent="0.3">
      <c r="A134" s="12">
        <v>45790</v>
      </c>
      <c r="B134" s="2">
        <v>2025</v>
      </c>
      <c r="C134" s="2">
        <v>5</v>
      </c>
      <c r="D134" s="2" t="s">
        <v>912</v>
      </c>
      <c r="E134" s="2" t="s">
        <v>911</v>
      </c>
      <c r="F134" s="2">
        <v>20</v>
      </c>
    </row>
    <row r="135" spans="1:6" x14ac:dyDescent="0.3">
      <c r="A135" s="13">
        <v>45791</v>
      </c>
      <c r="B135" s="5">
        <v>2025</v>
      </c>
      <c r="C135" s="5">
        <v>5</v>
      </c>
      <c r="D135" s="5" t="s">
        <v>912</v>
      </c>
      <c r="E135" s="5" t="s">
        <v>911</v>
      </c>
      <c r="F135" s="5">
        <v>20</v>
      </c>
    </row>
    <row r="136" spans="1:6" x14ac:dyDescent="0.3">
      <c r="A136" s="12">
        <v>45792</v>
      </c>
      <c r="B136" s="2">
        <v>2025</v>
      </c>
      <c r="C136" s="2">
        <v>5</v>
      </c>
      <c r="D136" s="2" t="s">
        <v>912</v>
      </c>
      <c r="E136" s="2" t="s">
        <v>911</v>
      </c>
      <c r="F136" s="2">
        <v>20</v>
      </c>
    </row>
    <row r="137" spans="1:6" x14ac:dyDescent="0.3">
      <c r="A137" s="13">
        <v>45793</v>
      </c>
      <c r="B137" s="5">
        <v>2025</v>
      </c>
      <c r="C137" s="5">
        <v>5</v>
      </c>
      <c r="D137" s="5" t="s">
        <v>912</v>
      </c>
      <c r="E137" s="5" t="s">
        <v>911</v>
      </c>
      <c r="F137" s="5">
        <v>20</v>
      </c>
    </row>
    <row r="138" spans="1:6" x14ac:dyDescent="0.3">
      <c r="A138" s="12">
        <v>45794</v>
      </c>
      <c r="B138" s="2">
        <v>2025</v>
      </c>
      <c r="C138" s="2">
        <v>5</v>
      </c>
      <c r="D138" s="2" t="s">
        <v>912</v>
      </c>
      <c r="E138" s="2" t="s">
        <v>911</v>
      </c>
      <c r="F138" s="2">
        <v>20</v>
      </c>
    </row>
    <row r="139" spans="1:6" x14ac:dyDescent="0.3">
      <c r="A139" s="13">
        <v>45795</v>
      </c>
      <c r="B139" s="5">
        <v>2025</v>
      </c>
      <c r="C139" s="5">
        <v>5</v>
      </c>
      <c r="D139" s="5" t="s">
        <v>912</v>
      </c>
      <c r="E139" s="5" t="s">
        <v>911</v>
      </c>
      <c r="F139" s="5">
        <v>20</v>
      </c>
    </row>
    <row r="140" spans="1:6" x14ac:dyDescent="0.3">
      <c r="A140" s="12">
        <v>45796</v>
      </c>
      <c r="B140" s="2">
        <v>2025</v>
      </c>
      <c r="C140" s="2">
        <v>5</v>
      </c>
      <c r="D140" s="2" t="s">
        <v>912</v>
      </c>
      <c r="E140" s="2" t="s">
        <v>911</v>
      </c>
      <c r="F140" s="2">
        <v>21</v>
      </c>
    </row>
    <row r="141" spans="1:6" x14ac:dyDescent="0.3">
      <c r="A141" s="13">
        <v>45797</v>
      </c>
      <c r="B141" s="5">
        <v>2025</v>
      </c>
      <c r="C141" s="5">
        <v>5</v>
      </c>
      <c r="D141" s="5" t="s">
        <v>912</v>
      </c>
      <c r="E141" s="5" t="s">
        <v>911</v>
      </c>
      <c r="F141" s="5">
        <v>21</v>
      </c>
    </row>
    <row r="142" spans="1:6" x14ac:dyDescent="0.3">
      <c r="A142" s="12">
        <v>45798</v>
      </c>
      <c r="B142" s="2">
        <v>2025</v>
      </c>
      <c r="C142" s="2">
        <v>5</v>
      </c>
      <c r="D142" s="2" t="s">
        <v>912</v>
      </c>
      <c r="E142" s="2" t="s">
        <v>911</v>
      </c>
      <c r="F142" s="2">
        <v>21</v>
      </c>
    </row>
    <row r="143" spans="1:6" x14ac:dyDescent="0.3">
      <c r="A143" s="13">
        <v>45799</v>
      </c>
      <c r="B143" s="5">
        <v>2025</v>
      </c>
      <c r="C143" s="5">
        <v>5</v>
      </c>
      <c r="D143" s="5" t="s">
        <v>912</v>
      </c>
      <c r="E143" s="5" t="s">
        <v>911</v>
      </c>
      <c r="F143" s="5">
        <v>21</v>
      </c>
    </row>
    <row r="144" spans="1:6" x14ac:dyDescent="0.3">
      <c r="A144" s="12">
        <v>45800</v>
      </c>
      <c r="B144" s="2">
        <v>2025</v>
      </c>
      <c r="C144" s="2">
        <v>5</v>
      </c>
      <c r="D144" s="2" t="s">
        <v>912</v>
      </c>
      <c r="E144" s="2" t="s">
        <v>911</v>
      </c>
      <c r="F144" s="2">
        <v>21</v>
      </c>
    </row>
    <row r="145" spans="1:6" x14ac:dyDescent="0.3">
      <c r="A145" s="13">
        <v>45801</v>
      </c>
      <c r="B145" s="5">
        <v>2025</v>
      </c>
      <c r="C145" s="5">
        <v>5</v>
      </c>
      <c r="D145" s="5" t="s">
        <v>912</v>
      </c>
      <c r="E145" s="5" t="s">
        <v>911</v>
      </c>
      <c r="F145" s="5">
        <v>21</v>
      </c>
    </row>
    <row r="146" spans="1:6" x14ac:dyDescent="0.3">
      <c r="A146" s="12">
        <v>45802</v>
      </c>
      <c r="B146" s="2">
        <v>2025</v>
      </c>
      <c r="C146" s="2">
        <v>5</v>
      </c>
      <c r="D146" s="2" t="s">
        <v>912</v>
      </c>
      <c r="E146" s="2" t="s">
        <v>911</v>
      </c>
      <c r="F146" s="2">
        <v>21</v>
      </c>
    </row>
    <row r="147" spans="1:6" x14ac:dyDescent="0.3">
      <c r="A147" s="13">
        <v>45803</v>
      </c>
      <c r="B147" s="5">
        <v>2025</v>
      </c>
      <c r="C147" s="5">
        <v>5</v>
      </c>
      <c r="D147" s="5" t="s">
        <v>912</v>
      </c>
      <c r="E147" s="5" t="s">
        <v>911</v>
      </c>
      <c r="F147" s="5">
        <v>22</v>
      </c>
    </row>
    <row r="148" spans="1:6" x14ac:dyDescent="0.3">
      <c r="A148" s="12">
        <v>45804</v>
      </c>
      <c r="B148" s="2">
        <v>2025</v>
      </c>
      <c r="C148" s="2">
        <v>5</v>
      </c>
      <c r="D148" s="2" t="s">
        <v>912</v>
      </c>
      <c r="E148" s="2" t="s">
        <v>911</v>
      </c>
      <c r="F148" s="2">
        <v>22</v>
      </c>
    </row>
    <row r="149" spans="1:6" x14ac:dyDescent="0.3">
      <c r="A149" s="13">
        <v>45805</v>
      </c>
      <c r="B149" s="5">
        <v>2025</v>
      </c>
      <c r="C149" s="5">
        <v>5</v>
      </c>
      <c r="D149" s="5" t="s">
        <v>912</v>
      </c>
      <c r="E149" s="5" t="s">
        <v>911</v>
      </c>
      <c r="F149" s="5">
        <v>22</v>
      </c>
    </row>
    <row r="150" spans="1:6" x14ac:dyDescent="0.3">
      <c r="A150" s="12">
        <v>45806</v>
      </c>
      <c r="B150" s="2">
        <v>2025</v>
      </c>
      <c r="C150" s="2">
        <v>5</v>
      </c>
      <c r="D150" s="2" t="s">
        <v>912</v>
      </c>
      <c r="E150" s="2" t="s">
        <v>911</v>
      </c>
      <c r="F150" s="2">
        <v>22</v>
      </c>
    </row>
    <row r="151" spans="1:6" x14ac:dyDescent="0.3">
      <c r="A151" s="13">
        <v>45807</v>
      </c>
      <c r="B151" s="5">
        <v>2025</v>
      </c>
      <c r="C151" s="5">
        <v>5</v>
      </c>
      <c r="D151" s="5" t="s">
        <v>912</v>
      </c>
      <c r="E151" s="5" t="s">
        <v>911</v>
      </c>
      <c r="F151" s="5">
        <v>22</v>
      </c>
    </row>
    <row r="152" spans="1:6" x14ac:dyDescent="0.3">
      <c r="A152" s="12">
        <v>45808</v>
      </c>
      <c r="B152" s="2">
        <v>2025</v>
      </c>
      <c r="C152" s="2">
        <v>5</v>
      </c>
      <c r="D152" s="2" t="s">
        <v>912</v>
      </c>
      <c r="E152" s="2" t="s">
        <v>911</v>
      </c>
      <c r="F152" s="2">
        <v>22</v>
      </c>
    </row>
    <row r="153" spans="1:6" x14ac:dyDescent="0.3">
      <c r="A153" s="13">
        <v>45809</v>
      </c>
      <c r="B153" s="5">
        <v>2025</v>
      </c>
      <c r="C153" s="5">
        <v>6</v>
      </c>
      <c r="D153" s="5" t="s">
        <v>913</v>
      </c>
      <c r="E153" s="5" t="s">
        <v>911</v>
      </c>
      <c r="F153" s="5">
        <v>22</v>
      </c>
    </row>
    <row r="154" spans="1:6" x14ac:dyDescent="0.3">
      <c r="A154" s="12">
        <v>45810</v>
      </c>
      <c r="B154" s="2">
        <v>2025</v>
      </c>
      <c r="C154" s="2">
        <v>6</v>
      </c>
      <c r="D154" s="2" t="s">
        <v>913</v>
      </c>
      <c r="E154" s="2" t="s">
        <v>911</v>
      </c>
      <c r="F154" s="2">
        <v>23</v>
      </c>
    </row>
    <row r="155" spans="1:6" x14ac:dyDescent="0.3">
      <c r="A155" s="13">
        <v>45811</v>
      </c>
      <c r="B155" s="5">
        <v>2025</v>
      </c>
      <c r="C155" s="5">
        <v>6</v>
      </c>
      <c r="D155" s="5" t="s">
        <v>913</v>
      </c>
      <c r="E155" s="5" t="s">
        <v>911</v>
      </c>
      <c r="F155" s="5">
        <v>23</v>
      </c>
    </row>
    <row r="156" spans="1:6" x14ac:dyDescent="0.3">
      <c r="A156" s="12">
        <v>45812</v>
      </c>
      <c r="B156" s="2">
        <v>2025</v>
      </c>
      <c r="C156" s="2">
        <v>6</v>
      </c>
      <c r="D156" s="2" t="s">
        <v>913</v>
      </c>
      <c r="E156" s="2" t="s">
        <v>911</v>
      </c>
      <c r="F156" s="2">
        <v>23</v>
      </c>
    </row>
    <row r="157" spans="1:6" x14ac:dyDescent="0.3">
      <c r="A157" s="13">
        <v>45813</v>
      </c>
      <c r="B157" s="5">
        <v>2025</v>
      </c>
      <c r="C157" s="5">
        <v>6</v>
      </c>
      <c r="D157" s="5" t="s">
        <v>913</v>
      </c>
      <c r="E157" s="5" t="s">
        <v>911</v>
      </c>
      <c r="F157" s="5">
        <v>23</v>
      </c>
    </row>
    <row r="158" spans="1:6" x14ac:dyDescent="0.3">
      <c r="A158" s="12">
        <v>45814</v>
      </c>
      <c r="B158" s="2">
        <v>2025</v>
      </c>
      <c r="C158" s="2">
        <v>6</v>
      </c>
      <c r="D158" s="2" t="s">
        <v>913</v>
      </c>
      <c r="E158" s="2" t="s">
        <v>911</v>
      </c>
      <c r="F158" s="2">
        <v>23</v>
      </c>
    </row>
    <row r="159" spans="1:6" x14ac:dyDescent="0.3">
      <c r="A159" s="13">
        <v>45815</v>
      </c>
      <c r="B159" s="5">
        <v>2025</v>
      </c>
      <c r="C159" s="5">
        <v>6</v>
      </c>
      <c r="D159" s="5" t="s">
        <v>913</v>
      </c>
      <c r="E159" s="5" t="s">
        <v>911</v>
      </c>
      <c r="F159" s="5">
        <v>23</v>
      </c>
    </row>
    <row r="160" spans="1:6" x14ac:dyDescent="0.3">
      <c r="A160" s="12">
        <v>45816</v>
      </c>
      <c r="B160" s="2">
        <v>2025</v>
      </c>
      <c r="C160" s="2">
        <v>6</v>
      </c>
      <c r="D160" s="2" t="s">
        <v>913</v>
      </c>
      <c r="E160" s="2" t="s">
        <v>911</v>
      </c>
      <c r="F160" s="2">
        <v>23</v>
      </c>
    </row>
    <row r="161" spans="1:6" x14ac:dyDescent="0.3">
      <c r="A161" s="13">
        <v>45817</v>
      </c>
      <c r="B161" s="5">
        <v>2025</v>
      </c>
      <c r="C161" s="5">
        <v>6</v>
      </c>
      <c r="D161" s="5" t="s">
        <v>913</v>
      </c>
      <c r="E161" s="5" t="s">
        <v>911</v>
      </c>
      <c r="F161" s="5">
        <v>24</v>
      </c>
    </row>
    <row r="162" spans="1:6" x14ac:dyDescent="0.3">
      <c r="A162" s="12">
        <v>45818</v>
      </c>
      <c r="B162" s="2">
        <v>2025</v>
      </c>
      <c r="C162" s="2">
        <v>6</v>
      </c>
      <c r="D162" s="2" t="s">
        <v>913</v>
      </c>
      <c r="E162" s="2" t="s">
        <v>911</v>
      </c>
      <c r="F162" s="2">
        <v>24</v>
      </c>
    </row>
    <row r="163" spans="1:6" x14ac:dyDescent="0.3">
      <c r="A163" s="13">
        <v>45819</v>
      </c>
      <c r="B163" s="5">
        <v>2025</v>
      </c>
      <c r="C163" s="5">
        <v>6</v>
      </c>
      <c r="D163" s="5" t="s">
        <v>913</v>
      </c>
      <c r="E163" s="5" t="s">
        <v>911</v>
      </c>
      <c r="F163" s="5">
        <v>24</v>
      </c>
    </row>
    <row r="164" spans="1:6" x14ac:dyDescent="0.3">
      <c r="A164" s="12">
        <v>45820</v>
      </c>
      <c r="B164" s="2">
        <v>2025</v>
      </c>
      <c r="C164" s="2">
        <v>6</v>
      </c>
      <c r="D164" s="2" t="s">
        <v>913</v>
      </c>
      <c r="E164" s="2" t="s">
        <v>911</v>
      </c>
      <c r="F164" s="2">
        <v>24</v>
      </c>
    </row>
    <row r="165" spans="1:6" x14ac:dyDescent="0.3">
      <c r="A165" s="13">
        <v>45821</v>
      </c>
      <c r="B165" s="5">
        <v>2025</v>
      </c>
      <c r="C165" s="5">
        <v>6</v>
      </c>
      <c r="D165" s="5" t="s">
        <v>913</v>
      </c>
      <c r="E165" s="5" t="s">
        <v>911</v>
      </c>
      <c r="F165" s="5">
        <v>24</v>
      </c>
    </row>
    <row r="166" spans="1:6" x14ac:dyDescent="0.3">
      <c r="A166" s="12">
        <v>45822</v>
      </c>
      <c r="B166" s="2">
        <v>2025</v>
      </c>
      <c r="C166" s="2">
        <v>6</v>
      </c>
      <c r="D166" s="2" t="s">
        <v>913</v>
      </c>
      <c r="E166" s="2" t="s">
        <v>911</v>
      </c>
      <c r="F166" s="2">
        <v>24</v>
      </c>
    </row>
    <row r="167" spans="1:6" x14ac:dyDescent="0.3">
      <c r="A167" s="13">
        <v>45823</v>
      </c>
      <c r="B167" s="5">
        <v>2025</v>
      </c>
      <c r="C167" s="5">
        <v>6</v>
      </c>
      <c r="D167" s="5" t="s">
        <v>913</v>
      </c>
      <c r="E167" s="5" t="s">
        <v>911</v>
      </c>
      <c r="F167" s="5">
        <v>24</v>
      </c>
    </row>
    <row r="168" spans="1:6" x14ac:dyDescent="0.3">
      <c r="A168" s="12">
        <v>45824</v>
      </c>
      <c r="B168" s="2">
        <v>2025</v>
      </c>
      <c r="C168" s="2">
        <v>6</v>
      </c>
      <c r="D168" s="2" t="s">
        <v>913</v>
      </c>
      <c r="E168" s="2" t="s">
        <v>911</v>
      </c>
      <c r="F168" s="2">
        <v>25</v>
      </c>
    </row>
    <row r="169" spans="1:6" x14ac:dyDescent="0.3">
      <c r="A169" s="13">
        <v>45825</v>
      </c>
      <c r="B169" s="5">
        <v>2025</v>
      </c>
      <c r="C169" s="5">
        <v>6</v>
      </c>
      <c r="D169" s="5" t="s">
        <v>913</v>
      </c>
      <c r="E169" s="5" t="s">
        <v>911</v>
      </c>
      <c r="F169" s="5">
        <v>25</v>
      </c>
    </row>
    <row r="170" spans="1:6" x14ac:dyDescent="0.3">
      <c r="A170" s="12">
        <v>45826</v>
      </c>
      <c r="B170" s="2">
        <v>2025</v>
      </c>
      <c r="C170" s="2">
        <v>6</v>
      </c>
      <c r="D170" s="2" t="s">
        <v>913</v>
      </c>
      <c r="E170" s="2" t="s">
        <v>911</v>
      </c>
      <c r="F170" s="2">
        <v>25</v>
      </c>
    </row>
    <row r="171" spans="1:6" x14ac:dyDescent="0.3">
      <c r="A171" s="13">
        <v>45827</v>
      </c>
      <c r="B171" s="5">
        <v>2025</v>
      </c>
      <c r="C171" s="5">
        <v>6</v>
      </c>
      <c r="D171" s="5" t="s">
        <v>913</v>
      </c>
      <c r="E171" s="5" t="s">
        <v>911</v>
      </c>
      <c r="F171" s="5">
        <v>25</v>
      </c>
    </row>
    <row r="172" spans="1:6" x14ac:dyDescent="0.3">
      <c r="A172" s="12">
        <v>45828</v>
      </c>
      <c r="B172" s="2">
        <v>2025</v>
      </c>
      <c r="C172" s="2">
        <v>6</v>
      </c>
      <c r="D172" s="2" t="s">
        <v>913</v>
      </c>
      <c r="E172" s="2" t="s">
        <v>911</v>
      </c>
      <c r="F172" s="2">
        <v>25</v>
      </c>
    </row>
    <row r="173" spans="1:6" x14ac:dyDescent="0.3">
      <c r="A173" s="13">
        <v>45829</v>
      </c>
      <c r="B173" s="5">
        <v>2025</v>
      </c>
      <c r="C173" s="5">
        <v>6</v>
      </c>
      <c r="D173" s="5" t="s">
        <v>913</v>
      </c>
      <c r="E173" s="5" t="s">
        <v>911</v>
      </c>
      <c r="F173" s="5">
        <v>25</v>
      </c>
    </row>
    <row r="174" spans="1:6" x14ac:dyDescent="0.3">
      <c r="A174" s="12">
        <v>45830</v>
      </c>
      <c r="B174" s="2">
        <v>2025</v>
      </c>
      <c r="C174" s="2">
        <v>6</v>
      </c>
      <c r="D174" s="2" t="s">
        <v>913</v>
      </c>
      <c r="E174" s="2" t="s">
        <v>911</v>
      </c>
      <c r="F174" s="2">
        <v>25</v>
      </c>
    </row>
    <row r="175" spans="1:6" x14ac:dyDescent="0.3">
      <c r="A175" s="13">
        <v>45831</v>
      </c>
      <c r="B175" s="5">
        <v>2025</v>
      </c>
      <c r="C175" s="5">
        <v>6</v>
      </c>
      <c r="D175" s="5" t="s">
        <v>913</v>
      </c>
      <c r="E175" s="5" t="s">
        <v>911</v>
      </c>
      <c r="F175" s="5">
        <v>26</v>
      </c>
    </row>
    <row r="176" spans="1:6" x14ac:dyDescent="0.3">
      <c r="A176" s="12">
        <v>45832</v>
      </c>
      <c r="B176" s="2">
        <v>2025</v>
      </c>
      <c r="C176" s="2">
        <v>6</v>
      </c>
      <c r="D176" s="2" t="s">
        <v>913</v>
      </c>
      <c r="E176" s="2" t="s">
        <v>911</v>
      </c>
      <c r="F176" s="2">
        <v>26</v>
      </c>
    </row>
    <row r="177" spans="1:6" x14ac:dyDescent="0.3">
      <c r="A177" s="13">
        <v>45833</v>
      </c>
      <c r="B177" s="5">
        <v>2025</v>
      </c>
      <c r="C177" s="5">
        <v>6</v>
      </c>
      <c r="D177" s="5" t="s">
        <v>913</v>
      </c>
      <c r="E177" s="5" t="s">
        <v>911</v>
      </c>
      <c r="F177" s="5">
        <v>26</v>
      </c>
    </row>
    <row r="178" spans="1:6" x14ac:dyDescent="0.3">
      <c r="A178" s="12">
        <v>45834</v>
      </c>
      <c r="B178" s="2">
        <v>2025</v>
      </c>
      <c r="C178" s="2">
        <v>6</v>
      </c>
      <c r="D178" s="2" t="s">
        <v>913</v>
      </c>
      <c r="E178" s="2" t="s">
        <v>911</v>
      </c>
      <c r="F178" s="2">
        <v>26</v>
      </c>
    </row>
    <row r="179" spans="1:6" x14ac:dyDescent="0.3">
      <c r="A179" s="13">
        <v>45835</v>
      </c>
      <c r="B179" s="5">
        <v>2025</v>
      </c>
      <c r="C179" s="5">
        <v>6</v>
      </c>
      <c r="D179" s="5" t="s">
        <v>913</v>
      </c>
      <c r="E179" s="5" t="s">
        <v>911</v>
      </c>
      <c r="F179" s="5">
        <v>26</v>
      </c>
    </row>
    <row r="180" spans="1:6" x14ac:dyDescent="0.3">
      <c r="A180" s="12">
        <v>45836</v>
      </c>
      <c r="B180" s="2">
        <v>2025</v>
      </c>
      <c r="C180" s="2">
        <v>6</v>
      </c>
      <c r="D180" s="2" t="s">
        <v>913</v>
      </c>
      <c r="E180" s="2" t="s">
        <v>911</v>
      </c>
      <c r="F180" s="2">
        <v>26</v>
      </c>
    </row>
    <row r="181" spans="1:6" x14ac:dyDescent="0.3">
      <c r="A181" s="13">
        <v>45837</v>
      </c>
      <c r="B181" s="5">
        <v>2025</v>
      </c>
      <c r="C181" s="5">
        <v>6</v>
      </c>
      <c r="D181" s="5" t="s">
        <v>913</v>
      </c>
      <c r="E181" s="5" t="s">
        <v>911</v>
      </c>
      <c r="F181" s="5">
        <v>26</v>
      </c>
    </row>
    <row r="182" spans="1:6" x14ac:dyDescent="0.3">
      <c r="A182" s="12">
        <v>45838</v>
      </c>
      <c r="B182" s="2">
        <v>2025</v>
      </c>
      <c r="C182" s="2">
        <v>6</v>
      </c>
      <c r="D182" s="2" t="s">
        <v>913</v>
      </c>
      <c r="E182" s="2" t="s">
        <v>911</v>
      </c>
      <c r="F182" s="2">
        <v>27</v>
      </c>
    </row>
    <row r="183" spans="1:6" x14ac:dyDescent="0.3">
      <c r="A183" s="13">
        <v>45839</v>
      </c>
      <c r="B183" s="5">
        <v>2025</v>
      </c>
      <c r="C183" s="5">
        <v>7</v>
      </c>
      <c r="D183" s="5" t="s">
        <v>914</v>
      </c>
      <c r="E183" s="5" t="s">
        <v>915</v>
      </c>
      <c r="F183" s="5">
        <v>27</v>
      </c>
    </row>
    <row r="184" spans="1:6" x14ac:dyDescent="0.3">
      <c r="A184" s="12">
        <v>45840</v>
      </c>
      <c r="B184" s="2">
        <v>2025</v>
      </c>
      <c r="C184" s="2">
        <v>7</v>
      </c>
      <c r="D184" s="2" t="s">
        <v>914</v>
      </c>
      <c r="E184" s="2" t="s">
        <v>915</v>
      </c>
      <c r="F184" s="2">
        <v>27</v>
      </c>
    </row>
    <row r="185" spans="1:6" x14ac:dyDescent="0.3">
      <c r="A185" s="13">
        <v>45841</v>
      </c>
      <c r="B185" s="5">
        <v>2025</v>
      </c>
      <c r="C185" s="5">
        <v>7</v>
      </c>
      <c r="D185" s="5" t="s">
        <v>914</v>
      </c>
      <c r="E185" s="5" t="s">
        <v>915</v>
      </c>
      <c r="F185" s="5">
        <v>27</v>
      </c>
    </row>
    <row r="186" spans="1:6" x14ac:dyDescent="0.3">
      <c r="A186" s="12">
        <v>45842</v>
      </c>
      <c r="B186" s="2">
        <v>2025</v>
      </c>
      <c r="C186" s="2">
        <v>7</v>
      </c>
      <c r="D186" s="2" t="s">
        <v>914</v>
      </c>
      <c r="E186" s="2" t="s">
        <v>915</v>
      </c>
      <c r="F186" s="2">
        <v>27</v>
      </c>
    </row>
    <row r="187" spans="1:6" x14ac:dyDescent="0.3">
      <c r="A187" s="13">
        <v>45843</v>
      </c>
      <c r="B187" s="5">
        <v>2025</v>
      </c>
      <c r="C187" s="5">
        <v>7</v>
      </c>
      <c r="D187" s="5" t="s">
        <v>914</v>
      </c>
      <c r="E187" s="5" t="s">
        <v>915</v>
      </c>
      <c r="F187" s="5">
        <v>27</v>
      </c>
    </row>
    <row r="188" spans="1:6" x14ac:dyDescent="0.3">
      <c r="A188" s="12">
        <v>45844</v>
      </c>
      <c r="B188" s="2">
        <v>2025</v>
      </c>
      <c r="C188" s="2">
        <v>7</v>
      </c>
      <c r="D188" s="2" t="s">
        <v>914</v>
      </c>
      <c r="E188" s="2" t="s">
        <v>915</v>
      </c>
      <c r="F188" s="2">
        <v>27</v>
      </c>
    </row>
    <row r="189" spans="1:6" x14ac:dyDescent="0.3">
      <c r="A189" s="13">
        <v>45845</v>
      </c>
      <c r="B189" s="5">
        <v>2025</v>
      </c>
      <c r="C189" s="5">
        <v>7</v>
      </c>
      <c r="D189" s="5" t="s">
        <v>914</v>
      </c>
      <c r="E189" s="5" t="s">
        <v>915</v>
      </c>
      <c r="F189" s="5">
        <v>28</v>
      </c>
    </row>
    <row r="190" spans="1:6" x14ac:dyDescent="0.3">
      <c r="A190" s="12">
        <v>45846</v>
      </c>
      <c r="B190" s="2">
        <v>2025</v>
      </c>
      <c r="C190" s="2">
        <v>7</v>
      </c>
      <c r="D190" s="2" t="s">
        <v>914</v>
      </c>
      <c r="E190" s="2" t="s">
        <v>915</v>
      </c>
      <c r="F190" s="2">
        <v>28</v>
      </c>
    </row>
    <row r="191" spans="1:6" x14ac:dyDescent="0.3">
      <c r="A191" s="13">
        <v>45847</v>
      </c>
      <c r="B191" s="5">
        <v>2025</v>
      </c>
      <c r="C191" s="5">
        <v>7</v>
      </c>
      <c r="D191" s="5" t="s">
        <v>914</v>
      </c>
      <c r="E191" s="5" t="s">
        <v>915</v>
      </c>
      <c r="F191" s="5">
        <v>28</v>
      </c>
    </row>
    <row r="192" spans="1:6" x14ac:dyDescent="0.3">
      <c r="A192" s="12">
        <v>45848</v>
      </c>
      <c r="B192" s="2">
        <v>2025</v>
      </c>
      <c r="C192" s="2">
        <v>7</v>
      </c>
      <c r="D192" s="2" t="s">
        <v>914</v>
      </c>
      <c r="E192" s="2" t="s">
        <v>915</v>
      </c>
      <c r="F192" s="2">
        <v>28</v>
      </c>
    </row>
    <row r="193" spans="1:6" x14ac:dyDescent="0.3">
      <c r="A193" s="13">
        <v>45849</v>
      </c>
      <c r="B193" s="5">
        <v>2025</v>
      </c>
      <c r="C193" s="5">
        <v>7</v>
      </c>
      <c r="D193" s="5" t="s">
        <v>914</v>
      </c>
      <c r="E193" s="5" t="s">
        <v>915</v>
      </c>
      <c r="F193" s="5">
        <v>28</v>
      </c>
    </row>
    <row r="194" spans="1:6" x14ac:dyDescent="0.3">
      <c r="A194" s="12">
        <v>45850</v>
      </c>
      <c r="B194" s="2">
        <v>2025</v>
      </c>
      <c r="C194" s="2">
        <v>7</v>
      </c>
      <c r="D194" s="2" t="s">
        <v>914</v>
      </c>
      <c r="E194" s="2" t="s">
        <v>915</v>
      </c>
      <c r="F194" s="2">
        <v>28</v>
      </c>
    </row>
    <row r="195" spans="1:6" x14ac:dyDescent="0.3">
      <c r="A195" s="13">
        <v>45851</v>
      </c>
      <c r="B195" s="5">
        <v>2025</v>
      </c>
      <c r="C195" s="5">
        <v>7</v>
      </c>
      <c r="D195" s="5" t="s">
        <v>914</v>
      </c>
      <c r="E195" s="5" t="s">
        <v>915</v>
      </c>
      <c r="F195" s="5">
        <v>28</v>
      </c>
    </row>
    <row r="196" spans="1:6" x14ac:dyDescent="0.3">
      <c r="A196" s="12">
        <v>45852</v>
      </c>
      <c r="B196" s="2">
        <v>2025</v>
      </c>
      <c r="C196" s="2">
        <v>7</v>
      </c>
      <c r="D196" s="2" t="s">
        <v>914</v>
      </c>
      <c r="E196" s="2" t="s">
        <v>915</v>
      </c>
      <c r="F196" s="2">
        <v>29</v>
      </c>
    </row>
    <row r="197" spans="1:6" x14ac:dyDescent="0.3">
      <c r="A197" s="13">
        <v>45853</v>
      </c>
      <c r="B197" s="5">
        <v>2025</v>
      </c>
      <c r="C197" s="5">
        <v>7</v>
      </c>
      <c r="D197" s="5" t="s">
        <v>914</v>
      </c>
      <c r="E197" s="5" t="s">
        <v>915</v>
      </c>
      <c r="F197" s="5">
        <v>29</v>
      </c>
    </row>
    <row r="198" spans="1:6" x14ac:dyDescent="0.3">
      <c r="A198" s="12">
        <v>45854</v>
      </c>
      <c r="B198" s="2">
        <v>2025</v>
      </c>
      <c r="C198" s="2">
        <v>7</v>
      </c>
      <c r="D198" s="2" t="s">
        <v>914</v>
      </c>
      <c r="E198" s="2" t="s">
        <v>915</v>
      </c>
      <c r="F198" s="2">
        <v>29</v>
      </c>
    </row>
    <row r="199" spans="1:6" x14ac:dyDescent="0.3">
      <c r="A199" s="13">
        <v>45855</v>
      </c>
      <c r="B199" s="5">
        <v>2025</v>
      </c>
      <c r="C199" s="5">
        <v>7</v>
      </c>
      <c r="D199" s="5" t="s">
        <v>914</v>
      </c>
      <c r="E199" s="5" t="s">
        <v>915</v>
      </c>
      <c r="F199" s="5">
        <v>29</v>
      </c>
    </row>
    <row r="200" spans="1:6" x14ac:dyDescent="0.3">
      <c r="A200" s="12">
        <v>45856</v>
      </c>
      <c r="B200" s="2">
        <v>2025</v>
      </c>
      <c r="C200" s="2">
        <v>7</v>
      </c>
      <c r="D200" s="2" t="s">
        <v>914</v>
      </c>
      <c r="E200" s="2" t="s">
        <v>915</v>
      </c>
      <c r="F200" s="2">
        <v>29</v>
      </c>
    </row>
    <row r="201" spans="1:6" x14ac:dyDescent="0.3">
      <c r="A201" s="13">
        <v>45857</v>
      </c>
      <c r="B201" s="5">
        <v>2025</v>
      </c>
      <c r="C201" s="5">
        <v>7</v>
      </c>
      <c r="D201" s="5" t="s">
        <v>914</v>
      </c>
      <c r="E201" s="5" t="s">
        <v>915</v>
      </c>
      <c r="F201" s="5">
        <v>29</v>
      </c>
    </row>
    <row r="202" spans="1:6" x14ac:dyDescent="0.3">
      <c r="A202" s="12">
        <v>45858</v>
      </c>
      <c r="B202" s="2">
        <v>2025</v>
      </c>
      <c r="C202" s="2">
        <v>7</v>
      </c>
      <c r="D202" s="2" t="s">
        <v>914</v>
      </c>
      <c r="E202" s="2" t="s">
        <v>915</v>
      </c>
      <c r="F202" s="2">
        <v>29</v>
      </c>
    </row>
    <row r="203" spans="1:6" x14ac:dyDescent="0.3">
      <c r="A203" s="13">
        <v>45859</v>
      </c>
      <c r="B203" s="5">
        <v>2025</v>
      </c>
      <c r="C203" s="5">
        <v>7</v>
      </c>
      <c r="D203" s="5" t="s">
        <v>914</v>
      </c>
      <c r="E203" s="5" t="s">
        <v>915</v>
      </c>
      <c r="F203" s="5">
        <v>30</v>
      </c>
    </row>
    <row r="204" spans="1:6" x14ac:dyDescent="0.3">
      <c r="A204" s="12">
        <v>45860</v>
      </c>
      <c r="B204" s="2">
        <v>2025</v>
      </c>
      <c r="C204" s="2">
        <v>7</v>
      </c>
      <c r="D204" s="2" t="s">
        <v>914</v>
      </c>
      <c r="E204" s="2" t="s">
        <v>915</v>
      </c>
      <c r="F204" s="2">
        <v>30</v>
      </c>
    </row>
    <row r="205" spans="1:6" x14ac:dyDescent="0.3">
      <c r="A205" s="13">
        <v>45861</v>
      </c>
      <c r="B205" s="5">
        <v>2025</v>
      </c>
      <c r="C205" s="5">
        <v>7</v>
      </c>
      <c r="D205" s="5" t="s">
        <v>914</v>
      </c>
      <c r="E205" s="5" t="s">
        <v>915</v>
      </c>
      <c r="F205" s="5">
        <v>30</v>
      </c>
    </row>
    <row r="206" spans="1:6" x14ac:dyDescent="0.3">
      <c r="A206" s="12">
        <v>45862</v>
      </c>
      <c r="B206" s="2">
        <v>2025</v>
      </c>
      <c r="C206" s="2">
        <v>7</v>
      </c>
      <c r="D206" s="2" t="s">
        <v>914</v>
      </c>
      <c r="E206" s="2" t="s">
        <v>915</v>
      </c>
      <c r="F206" s="2">
        <v>30</v>
      </c>
    </row>
    <row r="207" spans="1:6" x14ac:dyDescent="0.3">
      <c r="A207" s="13">
        <v>45863</v>
      </c>
      <c r="B207" s="5">
        <v>2025</v>
      </c>
      <c r="C207" s="5">
        <v>7</v>
      </c>
      <c r="D207" s="5" t="s">
        <v>914</v>
      </c>
      <c r="E207" s="5" t="s">
        <v>915</v>
      </c>
      <c r="F207" s="5">
        <v>30</v>
      </c>
    </row>
    <row r="208" spans="1:6" x14ac:dyDescent="0.3">
      <c r="A208" s="12">
        <v>45864</v>
      </c>
      <c r="B208" s="2">
        <v>2025</v>
      </c>
      <c r="C208" s="2">
        <v>7</v>
      </c>
      <c r="D208" s="2" t="s">
        <v>914</v>
      </c>
      <c r="E208" s="2" t="s">
        <v>915</v>
      </c>
      <c r="F208" s="2">
        <v>30</v>
      </c>
    </row>
    <row r="209" spans="1:6" x14ac:dyDescent="0.3">
      <c r="A209" s="13">
        <v>45865</v>
      </c>
      <c r="B209" s="5">
        <v>2025</v>
      </c>
      <c r="C209" s="5">
        <v>7</v>
      </c>
      <c r="D209" s="5" t="s">
        <v>914</v>
      </c>
      <c r="E209" s="5" t="s">
        <v>915</v>
      </c>
      <c r="F209" s="5">
        <v>30</v>
      </c>
    </row>
    <row r="210" spans="1:6" x14ac:dyDescent="0.3">
      <c r="A210" s="12">
        <v>45866</v>
      </c>
      <c r="B210" s="2">
        <v>2025</v>
      </c>
      <c r="C210" s="2">
        <v>7</v>
      </c>
      <c r="D210" s="2" t="s">
        <v>914</v>
      </c>
      <c r="E210" s="2" t="s">
        <v>915</v>
      </c>
      <c r="F210" s="2">
        <v>31</v>
      </c>
    </row>
    <row r="211" spans="1:6" x14ac:dyDescent="0.3">
      <c r="A211" s="13">
        <v>45867</v>
      </c>
      <c r="B211" s="5">
        <v>2025</v>
      </c>
      <c r="C211" s="5">
        <v>7</v>
      </c>
      <c r="D211" s="5" t="s">
        <v>914</v>
      </c>
      <c r="E211" s="5" t="s">
        <v>915</v>
      </c>
      <c r="F211" s="5">
        <v>31</v>
      </c>
    </row>
    <row r="212" spans="1:6" x14ac:dyDescent="0.3">
      <c r="A212" s="12">
        <v>45868</v>
      </c>
      <c r="B212" s="2">
        <v>2025</v>
      </c>
      <c r="C212" s="2">
        <v>7</v>
      </c>
      <c r="D212" s="2" t="s">
        <v>914</v>
      </c>
      <c r="E212" s="2" t="s">
        <v>915</v>
      </c>
      <c r="F212" s="2">
        <v>31</v>
      </c>
    </row>
    <row r="213" spans="1:6" x14ac:dyDescent="0.3">
      <c r="A213" s="13">
        <v>45869</v>
      </c>
      <c r="B213" s="5">
        <v>2025</v>
      </c>
      <c r="C213" s="5">
        <v>7</v>
      </c>
      <c r="D213" s="5" t="s">
        <v>914</v>
      </c>
      <c r="E213" s="5" t="s">
        <v>915</v>
      </c>
      <c r="F213" s="5">
        <v>31</v>
      </c>
    </row>
    <row r="214" spans="1:6" x14ac:dyDescent="0.3">
      <c r="A214" s="12">
        <v>45870</v>
      </c>
      <c r="B214" s="2">
        <v>2025</v>
      </c>
      <c r="C214" s="2">
        <v>8</v>
      </c>
      <c r="D214" s="2" t="s">
        <v>916</v>
      </c>
      <c r="E214" s="2" t="s">
        <v>915</v>
      </c>
      <c r="F214" s="2">
        <v>31</v>
      </c>
    </row>
    <row r="215" spans="1:6" x14ac:dyDescent="0.3">
      <c r="A215" s="13">
        <v>45871</v>
      </c>
      <c r="B215" s="5">
        <v>2025</v>
      </c>
      <c r="C215" s="5">
        <v>8</v>
      </c>
      <c r="D215" s="5" t="s">
        <v>916</v>
      </c>
      <c r="E215" s="5" t="s">
        <v>915</v>
      </c>
      <c r="F215" s="5">
        <v>31</v>
      </c>
    </row>
    <row r="216" spans="1:6" x14ac:dyDescent="0.3">
      <c r="A216" s="12">
        <v>45872</v>
      </c>
      <c r="B216" s="2">
        <v>2025</v>
      </c>
      <c r="C216" s="2">
        <v>8</v>
      </c>
      <c r="D216" s="2" t="s">
        <v>916</v>
      </c>
      <c r="E216" s="2" t="s">
        <v>915</v>
      </c>
      <c r="F216" s="2">
        <v>31</v>
      </c>
    </row>
    <row r="217" spans="1:6" x14ac:dyDescent="0.3">
      <c r="A217" s="13">
        <v>45873</v>
      </c>
      <c r="B217" s="5">
        <v>2025</v>
      </c>
      <c r="C217" s="5">
        <v>8</v>
      </c>
      <c r="D217" s="5" t="s">
        <v>916</v>
      </c>
      <c r="E217" s="5" t="s">
        <v>915</v>
      </c>
      <c r="F217" s="5">
        <v>32</v>
      </c>
    </row>
    <row r="218" spans="1:6" x14ac:dyDescent="0.3">
      <c r="A218" s="12">
        <v>45874</v>
      </c>
      <c r="B218" s="2">
        <v>2025</v>
      </c>
      <c r="C218" s="2">
        <v>8</v>
      </c>
      <c r="D218" s="2" t="s">
        <v>916</v>
      </c>
      <c r="E218" s="2" t="s">
        <v>915</v>
      </c>
      <c r="F218" s="2">
        <v>32</v>
      </c>
    </row>
    <row r="219" spans="1:6" x14ac:dyDescent="0.3">
      <c r="A219" s="13">
        <v>45875</v>
      </c>
      <c r="B219" s="5">
        <v>2025</v>
      </c>
      <c r="C219" s="5">
        <v>8</v>
      </c>
      <c r="D219" s="5" t="s">
        <v>916</v>
      </c>
      <c r="E219" s="5" t="s">
        <v>915</v>
      </c>
      <c r="F219" s="5">
        <v>32</v>
      </c>
    </row>
    <row r="220" spans="1:6" x14ac:dyDescent="0.3">
      <c r="A220" s="12">
        <v>45876</v>
      </c>
      <c r="B220" s="2">
        <v>2025</v>
      </c>
      <c r="C220" s="2">
        <v>8</v>
      </c>
      <c r="D220" s="2" t="s">
        <v>916</v>
      </c>
      <c r="E220" s="2" t="s">
        <v>915</v>
      </c>
      <c r="F220" s="2">
        <v>32</v>
      </c>
    </row>
    <row r="221" spans="1:6" x14ac:dyDescent="0.3">
      <c r="A221" s="13">
        <v>45877</v>
      </c>
      <c r="B221" s="5">
        <v>2025</v>
      </c>
      <c r="C221" s="5">
        <v>8</v>
      </c>
      <c r="D221" s="5" t="s">
        <v>916</v>
      </c>
      <c r="E221" s="5" t="s">
        <v>915</v>
      </c>
      <c r="F221" s="5">
        <v>32</v>
      </c>
    </row>
    <row r="222" spans="1:6" x14ac:dyDescent="0.3">
      <c r="A222" s="12">
        <v>45878</v>
      </c>
      <c r="B222" s="2">
        <v>2025</v>
      </c>
      <c r="C222" s="2">
        <v>8</v>
      </c>
      <c r="D222" s="2" t="s">
        <v>916</v>
      </c>
      <c r="E222" s="2" t="s">
        <v>915</v>
      </c>
      <c r="F222" s="2">
        <v>32</v>
      </c>
    </row>
    <row r="223" spans="1:6" x14ac:dyDescent="0.3">
      <c r="A223" s="13">
        <v>45879</v>
      </c>
      <c r="B223" s="5">
        <v>2025</v>
      </c>
      <c r="C223" s="5">
        <v>8</v>
      </c>
      <c r="D223" s="5" t="s">
        <v>916</v>
      </c>
      <c r="E223" s="5" t="s">
        <v>915</v>
      </c>
      <c r="F223" s="5">
        <v>32</v>
      </c>
    </row>
    <row r="224" spans="1:6" x14ac:dyDescent="0.3">
      <c r="A224" s="12">
        <v>45880</v>
      </c>
      <c r="B224" s="2">
        <v>2025</v>
      </c>
      <c r="C224" s="2">
        <v>8</v>
      </c>
      <c r="D224" s="2" t="s">
        <v>916</v>
      </c>
      <c r="E224" s="2" t="s">
        <v>915</v>
      </c>
      <c r="F224" s="2">
        <v>33</v>
      </c>
    </row>
    <row r="225" spans="1:6" x14ac:dyDescent="0.3">
      <c r="A225" s="13">
        <v>45881</v>
      </c>
      <c r="B225" s="5">
        <v>2025</v>
      </c>
      <c r="C225" s="5">
        <v>8</v>
      </c>
      <c r="D225" s="5" t="s">
        <v>916</v>
      </c>
      <c r="E225" s="5" t="s">
        <v>915</v>
      </c>
      <c r="F225" s="5">
        <v>33</v>
      </c>
    </row>
    <row r="226" spans="1:6" x14ac:dyDescent="0.3">
      <c r="A226" s="12">
        <v>45882</v>
      </c>
      <c r="B226" s="2">
        <v>2025</v>
      </c>
      <c r="C226" s="2">
        <v>8</v>
      </c>
      <c r="D226" s="2" t="s">
        <v>916</v>
      </c>
      <c r="E226" s="2" t="s">
        <v>915</v>
      </c>
      <c r="F226" s="2">
        <v>33</v>
      </c>
    </row>
    <row r="227" spans="1:6" x14ac:dyDescent="0.3">
      <c r="A227" s="13">
        <v>45883</v>
      </c>
      <c r="B227" s="5">
        <v>2025</v>
      </c>
      <c r="C227" s="5">
        <v>8</v>
      </c>
      <c r="D227" s="5" t="s">
        <v>916</v>
      </c>
      <c r="E227" s="5" t="s">
        <v>915</v>
      </c>
      <c r="F227" s="5">
        <v>33</v>
      </c>
    </row>
    <row r="228" spans="1:6" x14ac:dyDescent="0.3">
      <c r="A228" s="12">
        <v>45884</v>
      </c>
      <c r="B228" s="2">
        <v>2025</v>
      </c>
      <c r="C228" s="2">
        <v>8</v>
      </c>
      <c r="D228" s="2" t="s">
        <v>916</v>
      </c>
      <c r="E228" s="2" t="s">
        <v>915</v>
      </c>
      <c r="F228" s="2">
        <v>33</v>
      </c>
    </row>
    <row r="229" spans="1:6" x14ac:dyDescent="0.3">
      <c r="A229" s="13">
        <v>45885</v>
      </c>
      <c r="B229" s="5">
        <v>2025</v>
      </c>
      <c r="C229" s="5">
        <v>8</v>
      </c>
      <c r="D229" s="5" t="s">
        <v>916</v>
      </c>
      <c r="E229" s="5" t="s">
        <v>915</v>
      </c>
      <c r="F229" s="5">
        <v>33</v>
      </c>
    </row>
    <row r="230" spans="1:6" x14ac:dyDescent="0.3">
      <c r="A230" s="12">
        <v>45886</v>
      </c>
      <c r="B230" s="2">
        <v>2025</v>
      </c>
      <c r="C230" s="2">
        <v>8</v>
      </c>
      <c r="D230" s="2" t="s">
        <v>916</v>
      </c>
      <c r="E230" s="2" t="s">
        <v>915</v>
      </c>
      <c r="F230" s="2">
        <v>33</v>
      </c>
    </row>
    <row r="231" spans="1:6" x14ac:dyDescent="0.3">
      <c r="A231" s="13">
        <v>45887</v>
      </c>
      <c r="B231" s="5">
        <v>2025</v>
      </c>
      <c r="C231" s="5">
        <v>8</v>
      </c>
      <c r="D231" s="5" t="s">
        <v>916</v>
      </c>
      <c r="E231" s="5" t="s">
        <v>915</v>
      </c>
      <c r="F231" s="5">
        <v>34</v>
      </c>
    </row>
    <row r="232" spans="1:6" x14ac:dyDescent="0.3">
      <c r="A232" s="12">
        <v>45888</v>
      </c>
      <c r="B232" s="2">
        <v>2025</v>
      </c>
      <c r="C232" s="2">
        <v>8</v>
      </c>
      <c r="D232" s="2" t="s">
        <v>916</v>
      </c>
      <c r="E232" s="2" t="s">
        <v>915</v>
      </c>
      <c r="F232" s="2">
        <v>34</v>
      </c>
    </row>
    <row r="233" spans="1:6" x14ac:dyDescent="0.3">
      <c r="A233" s="13">
        <v>45889</v>
      </c>
      <c r="B233" s="5">
        <v>2025</v>
      </c>
      <c r="C233" s="5">
        <v>8</v>
      </c>
      <c r="D233" s="5" t="s">
        <v>916</v>
      </c>
      <c r="E233" s="5" t="s">
        <v>915</v>
      </c>
      <c r="F233" s="5">
        <v>34</v>
      </c>
    </row>
    <row r="234" spans="1:6" x14ac:dyDescent="0.3">
      <c r="A234" s="12">
        <v>45890</v>
      </c>
      <c r="B234" s="2">
        <v>2025</v>
      </c>
      <c r="C234" s="2">
        <v>8</v>
      </c>
      <c r="D234" s="2" t="s">
        <v>916</v>
      </c>
      <c r="E234" s="2" t="s">
        <v>915</v>
      </c>
      <c r="F234" s="2">
        <v>34</v>
      </c>
    </row>
    <row r="235" spans="1:6" x14ac:dyDescent="0.3">
      <c r="A235" s="13">
        <v>45891</v>
      </c>
      <c r="B235" s="5">
        <v>2025</v>
      </c>
      <c r="C235" s="5">
        <v>8</v>
      </c>
      <c r="D235" s="5" t="s">
        <v>916</v>
      </c>
      <c r="E235" s="5" t="s">
        <v>915</v>
      </c>
      <c r="F235" s="5">
        <v>34</v>
      </c>
    </row>
    <row r="236" spans="1:6" x14ac:dyDescent="0.3">
      <c r="A236" s="12">
        <v>45892</v>
      </c>
      <c r="B236" s="2">
        <v>2025</v>
      </c>
      <c r="C236" s="2">
        <v>8</v>
      </c>
      <c r="D236" s="2" t="s">
        <v>916</v>
      </c>
      <c r="E236" s="2" t="s">
        <v>915</v>
      </c>
      <c r="F236" s="2">
        <v>34</v>
      </c>
    </row>
    <row r="237" spans="1:6" x14ac:dyDescent="0.3">
      <c r="A237" s="13">
        <v>45893</v>
      </c>
      <c r="B237" s="5">
        <v>2025</v>
      </c>
      <c r="C237" s="5">
        <v>8</v>
      </c>
      <c r="D237" s="5" t="s">
        <v>916</v>
      </c>
      <c r="E237" s="5" t="s">
        <v>915</v>
      </c>
      <c r="F237" s="5">
        <v>34</v>
      </c>
    </row>
    <row r="238" spans="1:6" x14ac:dyDescent="0.3">
      <c r="A238" s="12">
        <v>45894</v>
      </c>
      <c r="B238" s="2">
        <v>2025</v>
      </c>
      <c r="C238" s="2">
        <v>8</v>
      </c>
      <c r="D238" s="2" t="s">
        <v>916</v>
      </c>
      <c r="E238" s="2" t="s">
        <v>915</v>
      </c>
      <c r="F238" s="2">
        <v>35</v>
      </c>
    </row>
    <row r="239" spans="1:6" x14ac:dyDescent="0.3">
      <c r="A239" s="13">
        <v>45895</v>
      </c>
      <c r="B239" s="5">
        <v>2025</v>
      </c>
      <c r="C239" s="5">
        <v>8</v>
      </c>
      <c r="D239" s="5" t="s">
        <v>916</v>
      </c>
      <c r="E239" s="5" t="s">
        <v>915</v>
      </c>
      <c r="F239" s="5">
        <v>35</v>
      </c>
    </row>
    <row r="240" spans="1:6" x14ac:dyDescent="0.3">
      <c r="A240" s="12">
        <v>45896</v>
      </c>
      <c r="B240" s="2">
        <v>2025</v>
      </c>
      <c r="C240" s="2">
        <v>8</v>
      </c>
      <c r="D240" s="2" t="s">
        <v>916</v>
      </c>
      <c r="E240" s="2" t="s">
        <v>915</v>
      </c>
      <c r="F240" s="2">
        <v>35</v>
      </c>
    </row>
    <row r="241" spans="1:6" x14ac:dyDescent="0.3">
      <c r="A241" s="13">
        <v>45897</v>
      </c>
      <c r="B241" s="5">
        <v>2025</v>
      </c>
      <c r="C241" s="5">
        <v>8</v>
      </c>
      <c r="D241" s="5" t="s">
        <v>916</v>
      </c>
      <c r="E241" s="5" t="s">
        <v>915</v>
      </c>
      <c r="F241" s="5">
        <v>35</v>
      </c>
    </row>
    <row r="242" spans="1:6" x14ac:dyDescent="0.3">
      <c r="A242" s="12">
        <v>45898</v>
      </c>
      <c r="B242" s="2">
        <v>2025</v>
      </c>
      <c r="C242" s="2">
        <v>8</v>
      </c>
      <c r="D242" s="2" t="s">
        <v>916</v>
      </c>
      <c r="E242" s="2" t="s">
        <v>915</v>
      </c>
      <c r="F242" s="2">
        <v>35</v>
      </c>
    </row>
    <row r="243" spans="1:6" x14ac:dyDescent="0.3">
      <c r="A243" s="13">
        <v>45899</v>
      </c>
      <c r="B243" s="5">
        <v>2025</v>
      </c>
      <c r="C243" s="5">
        <v>8</v>
      </c>
      <c r="D243" s="5" t="s">
        <v>916</v>
      </c>
      <c r="E243" s="5" t="s">
        <v>915</v>
      </c>
      <c r="F243" s="5">
        <v>35</v>
      </c>
    </row>
    <row r="244" spans="1:6" x14ac:dyDescent="0.3">
      <c r="A244" s="12">
        <v>45900</v>
      </c>
      <c r="B244" s="2">
        <v>2025</v>
      </c>
      <c r="C244" s="2">
        <v>8</v>
      </c>
      <c r="D244" s="2" t="s">
        <v>916</v>
      </c>
      <c r="E244" s="2" t="s">
        <v>915</v>
      </c>
      <c r="F244" s="2">
        <v>35</v>
      </c>
    </row>
    <row r="245" spans="1:6" x14ac:dyDescent="0.3">
      <c r="A245" s="13">
        <v>45901</v>
      </c>
      <c r="B245" s="5">
        <v>2025</v>
      </c>
      <c r="C245" s="5">
        <v>9</v>
      </c>
      <c r="D245" s="5" t="s">
        <v>917</v>
      </c>
      <c r="E245" s="5" t="s">
        <v>915</v>
      </c>
      <c r="F245" s="5">
        <v>36</v>
      </c>
    </row>
    <row r="246" spans="1:6" x14ac:dyDescent="0.3">
      <c r="A246" s="12">
        <v>45902</v>
      </c>
      <c r="B246" s="2">
        <v>2025</v>
      </c>
      <c r="C246" s="2">
        <v>9</v>
      </c>
      <c r="D246" s="2" t="s">
        <v>917</v>
      </c>
      <c r="E246" s="2" t="s">
        <v>915</v>
      </c>
      <c r="F246" s="2">
        <v>36</v>
      </c>
    </row>
    <row r="247" spans="1:6" x14ac:dyDescent="0.3">
      <c r="A247" s="13">
        <v>45903</v>
      </c>
      <c r="B247" s="5">
        <v>2025</v>
      </c>
      <c r="C247" s="5">
        <v>9</v>
      </c>
      <c r="D247" s="5" t="s">
        <v>917</v>
      </c>
      <c r="E247" s="5" t="s">
        <v>915</v>
      </c>
      <c r="F247" s="5">
        <v>36</v>
      </c>
    </row>
    <row r="248" spans="1:6" x14ac:dyDescent="0.3">
      <c r="A248" s="12">
        <v>45904</v>
      </c>
      <c r="B248" s="2">
        <v>2025</v>
      </c>
      <c r="C248" s="2">
        <v>9</v>
      </c>
      <c r="D248" s="2" t="s">
        <v>917</v>
      </c>
      <c r="E248" s="2" t="s">
        <v>915</v>
      </c>
      <c r="F248" s="2">
        <v>36</v>
      </c>
    </row>
    <row r="249" spans="1:6" x14ac:dyDescent="0.3">
      <c r="A249" s="13">
        <v>45905</v>
      </c>
      <c r="B249" s="5">
        <v>2025</v>
      </c>
      <c r="C249" s="5">
        <v>9</v>
      </c>
      <c r="D249" s="5" t="s">
        <v>917</v>
      </c>
      <c r="E249" s="5" t="s">
        <v>915</v>
      </c>
      <c r="F249" s="5">
        <v>36</v>
      </c>
    </row>
    <row r="250" spans="1:6" x14ac:dyDescent="0.3">
      <c r="A250" s="12">
        <v>45906</v>
      </c>
      <c r="B250" s="2">
        <v>2025</v>
      </c>
      <c r="C250" s="2">
        <v>9</v>
      </c>
      <c r="D250" s="2" t="s">
        <v>917</v>
      </c>
      <c r="E250" s="2" t="s">
        <v>915</v>
      </c>
      <c r="F250" s="2">
        <v>36</v>
      </c>
    </row>
    <row r="251" spans="1:6" x14ac:dyDescent="0.3">
      <c r="A251" s="13">
        <v>45907</v>
      </c>
      <c r="B251" s="5">
        <v>2025</v>
      </c>
      <c r="C251" s="5">
        <v>9</v>
      </c>
      <c r="D251" s="5" t="s">
        <v>917</v>
      </c>
      <c r="E251" s="5" t="s">
        <v>915</v>
      </c>
      <c r="F251" s="5">
        <v>36</v>
      </c>
    </row>
    <row r="252" spans="1:6" x14ac:dyDescent="0.3">
      <c r="A252" s="12">
        <v>45908</v>
      </c>
      <c r="B252" s="2">
        <v>2025</v>
      </c>
      <c r="C252" s="2">
        <v>9</v>
      </c>
      <c r="D252" s="2" t="s">
        <v>917</v>
      </c>
      <c r="E252" s="2" t="s">
        <v>915</v>
      </c>
      <c r="F252" s="2">
        <v>37</v>
      </c>
    </row>
    <row r="253" spans="1:6" x14ac:dyDescent="0.3">
      <c r="A253" s="13">
        <v>45909</v>
      </c>
      <c r="B253" s="5">
        <v>2025</v>
      </c>
      <c r="C253" s="5">
        <v>9</v>
      </c>
      <c r="D253" s="5" t="s">
        <v>917</v>
      </c>
      <c r="E253" s="5" t="s">
        <v>915</v>
      </c>
      <c r="F253" s="5">
        <v>37</v>
      </c>
    </row>
    <row r="254" spans="1:6" x14ac:dyDescent="0.3">
      <c r="A254" s="12">
        <v>45910</v>
      </c>
      <c r="B254" s="2">
        <v>2025</v>
      </c>
      <c r="C254" s="2">
        <v>9</v>
      </c>
      <c r="D254" s="2" t="s">
        <v>917</v>
      </c>
      <c r="E254" s="2" t="s">
        <v>915</v>
      </c>
      <c r="F254" s="2">
        <v>37</v>
      </c>
    </row>
    <row r="255" spans="1:6" x14ac:dyDescent="0.3">
      <c r="A255" s="13">
        <v>45911</v>
      </c>
      <c r="B255" s="5">
        <v>2025</v>
      </c>
      <c r="C255" s="5">
        <v>9</v>
      </c>
      <c r="D255" s="5" t="s">
        <v>917</v>
      </c>
      <c r="E255" s="5" t="s">
        <v>915</v>
      </c>
      <c r="F255" s="5">
        <v>37</v>
      </c>
    </row>
    <row r="256" spans="1:6" x14ac:dyDescent="0.3">
      <c r="A256" s="12">
        <v>45912</v>
      </c>
      <c r="B256" s="2">
        <v>2025</v>
      </c>
      <c r="C256" s="2">
        <v>9</v>
      </c>
      <c r="D256" s="2" t="s">
        <v>917</v>
      </c>
      <c r="E256" s="2" t="s">
        <v>915</v>
      </c>
      <c r="F256" s="2">
        <v>37</v>
      </c>
    </row>
    <row r="257" spans="1:6" x14ac:dyDescent="0.3">
      <c r="A257" s="13">
        <v>45913</v>
      </c>
      <c r="B257" s="5">
        <v>2025</v>
      </c>
      <c r="C257" s="5">
        <v>9</v>
      </c>
      <c r="D257" s="5" t="s">
        <v>917</v>
      </c>
      <c r="E257" s="5" t="s">
        <v>915</v>
      </c>
      <c r="F257" s="5">
        <v>37</v>
      </c>
    </row>
    <row r="258" spans="1:6" x14ac:dyDescent="0.3">
      <c r="A258" s="12">
        <v>45914</v>
      </c>
      <c r="B258" s="2">
        <v>2025</v>
      </c>
      <c r="C258" s="2">
        <v>9</v>
      </c>
      <c r="D258" s="2" t="s">
        <v>917</v>
      </c>
      <c r="E258" s="2" t="s">
        <v>915</v>
      </c>
      <c r="F258" s="2">
        <v>37</v>
      </c>
    </row>
    <row r="259" spans="1:6" x14ac:dyDescent="0.3">
      <c r="A259" s="13">
        <v>45915</v>
      </c>
      <c r="B259" s="5">
        <v>2025</v>
      </c>
      <c r="C259" s="5">
        <v>9</v>
      </c>
      <c r="D259" s="5" t="s">
        <v>917</v>
      </c>
      <c r="E259" s="5" t="s">
        <v>915</v>
      </c>
      <c r="F259" s="5">
        <v>38</v>
      </c>
    </row>
    <row r="260" spans="1:6" x14ac:dyDescent="0.3">
      <c r="A260" s="12">
        <v>45916</v>
      </c>
      <c r="B260" s="2">
        <v>2025</v>
      </c>
      <c r="C260" s="2">
        <v>9</v>
      </c>
      <c r="D260" s="2" t="s">
        <v>917</v>
      </c>
      <c r="E260" s="2" t="s">
        <v>915</v>
      </c>
      <c r="F260" s="2">
        <v>38</v>
      </c>
    </row>
    <row r="261" spans="1:6" x14ac:dyDescent="0.3">
      <c r="A261" s="13">
        <v>45917</v>
      </c>
      <c r="B261" s="5">
        <v>2025</v>
      </c>
      <c r="C261" s="5">
        <v>9</v>
      </c>
      <c r="D261" s="5" t="s">
        <v>917</v>
      </c>
      <c r="E261" s="5" t="s">
        <v>915</v>
      </c>
      <c r="F261" s="5">
        <v>38</v>
      </c>
    </row>
    <row r="262" spans="1:6" x14ac:dyDescent="0.3">
      <c r="A262" s="12">
        <v>45918</v>
      </c>
      <c r="B262" s="2">
        <v>2025</v>
      </c>
      <c r="C262" s="2">
        <v>9</v>
      </c>
      <c r="D262" s="2" t="s">
        <v>917</v>
      </c>
      <c r="E262" s="2" t="s">
        <v>915</v>
      </c>
      <c r="F262" s="2">
        <v>38</v>
      </c>
    </row>
    <row r="263" spans="1:6" x14ac:dyDescent="0.3">
      <c r="A263" s="13">
        <v>45919</v>
      </c>
      <c r="B263" s="5">
        <v>2025</v>
      </c>
      <c r="C263" s="5">
        <v>9</v>
      </c>
      <c r="D263" s="5" t="s">
        <v>917</v>
      </c>
      <c r="E263" s="5" t="s">
        <v>915</v>
      </c>
      <c r="F263" s="5">
        <v>38</v>
      </c>
    </row>
    <row r="264" spans="1:6" x14ac:dyDescent="0.3">
      <c r="A264" s="12">
        <v>45920</v>
      </c>
      <c r="B264" s="2">
        <v>2025</v>
      </c>
      <c r="C264" s="2">
        <v>9</v>
      </c>
      <c r="D264" s="2" t="s">
        <v>917</v>
      </c>
      <c r="E264" s="2" t="s">
        <v>915</v>
      </c>
      <c r="F264" s="2">
        <v>38</v>
      </c>
    </row>
    <row r="265" spans="1:6" x14ac:dyDescent="0.3">
      <c r="A265" s="13">
        <v>45921</v>
      </c>
      <c r="B265" s="5">
        <v>2025</v>
      </c>
      <c r="C265" s="5">
        <v>9</v>
      </c>
      <c r="D265" s="5" t="s">
        <v>917</v>
      </c>
      <c r="E265" s="5" t="s">
        <v>915</v>
      </c>
      <c r="F265" s="5">
        <v>38</v>
      </c>
    </row>
    <row r="266" spans="1:6" x14ac:dyDescent="0.3">
      <c r="A266" s="12">
        <v>45922</v>
      </c>
      <c r="B266" s="2">
        <v>2025</v>
      </c>
      <c r="C266" s="2">
        <v>9</v>
      </c>
      <c r="D266" s="2" t="s">
        <v>917</v>
      </c>
      <c r="E266" s="2" t="s">
        <v>915</v>
      </c>
      <c r="F266" s="2">
        <v>39</v>
      </c>
    </row>
    <row r="267" spans="1:6" x14ac:dyDescent="0.3">
      <c r="A267" s="13">
        <v>45923</v>
      </c>
      <c r="B267" s="5">
        <v>2025</v>
      </c>
      <c r="C267" s="5">
        <v>9</v>
      </c>
      <c r="D267" s="5" t="s">
        <v>917</v>
      </c>
      <c r="E267" s="5" t="s">
        <v>915</v>
      </c>
      <c r="F267" s="5">
        <v>39</v>
      </c>
    </row>
    <row r="268" spans="1:6" x14ac:dyDescent="0.3">
      <c r="A268" s="12">
        <v>45924</v>
      </c>
      <c r="B268" s="2">
        <v>2025</v>
      </c>
      <c r="C268" s="2">
        <v>9</v>
      </c>
      <c r="D268" s="2" t="s">
        <v>917</v>
      </c>
      <c r="E268" s="2" t="s">
        <v>915</v>
      </c>
      <c r="F268" s="2">
        <v>39</v>
      </c>
    </row>
    <row r="269" spans="1:6" x14ac:dyDescent="0.3">
      <c r="A269" s="13">
        <v>45925</v>
      </c>
      <c r="B269" s="5">
        <v>2025</v>
      </c>
      <c r="C269" s="5">
        <v>9</v>
      </c>
      <c r="D269" s="5" t="s">
        <v>917</v>
      </c>
      <c r="E269" s="5" t="s">
        <v>915</v>
      </c>
      <c r="F269" s="5">
        <v>39</v>
      </c>
    </row>
    <row r="270" spans="1:6" x14ac:dyDescent="0.3">
      <c r="A270" s="12">
        <v>45926</v>
      </c>
      <c r="B270" s="2">
        <v>2025</v>
      </c>
      <c r="C270" s="2">
        <v>9</v>
      </c>
      <c r="D270" s="2" t="s">
        <v>917</v>
      </c>
      <c r="E270" s="2" t="s">
        <v>915</v>
      </c>
      <c r="F270" s="2">
        <v>39</v>
      </c>
    </row>
    <row r="271" spans="1:6" x14ac:dyDescent="0.3">
      <c r="A271" s="13">
        <v>45927</v>
      </c>
      <c r="B271" s="5">
        <v>2025</v>
      </c>
      <c r="C271" s="5">
        <v>9</v>
      </c>
      <c r="D271" s="5" t="s">
        <v>917</v>
      </c>
      <c r="E271" s="5" t="s">
        <v>915</v>
      </c>
      <c r="F271" s="5">
        <v>39</v>
      </c>
    </row>
    <row r="272" spans="1:6" x14ac:dyDescent="0.3">
      <c r="A272" s="12">
        <v>45928</v>
      </c>
      <c r="B272" s="2">
        <v>2025</v>
      </c>
      <c r="C272" s="2">
        <v>9</v>
      </c>
      <c r="D272" s="2" t="s">
        <v>917</v>
      </c>
      <c r="E272" s="2" t="s">
        <v>915</v>
      </c>
      <c r="F272" s="2">
        <v>39</v>
      </c>
    </row>
    <row r="273" spans="1:6" x14ac:dyDescent="0.3">
      <c r="A273" s="13">
        <v>45929</v>
      </c>
      <c r="B273" s="5">
        <v>2025</v>
      </c>
      <c r="C273" s="5">
        <v>9</v>
      </c>
      <c r="D273" s="5" t="s">
        <v>917</v>
      </c>
      <c r="E273" s="5" t="s">
        <v>915</v>
      </c>
      <c r="F273" s="5">
        <v>40</v>
      </c>
    </row>
    <row r="274" spans="1:6" x14ac:dyDescent="0.3">
      <c r="A274" s="12">
        <v>45930</v>
      </c>
      <c r="B274" s="2">
        <v>2025</v>
      </c>
      <c r="C274" s="2">
        <v>9</v>
      </c>
      <c r="D274" s="2" t="s">
        <v>917</v>
      </c>
      <c r="E274" s="2" t="s">
        <v>915</v>
      </c>
      <c r="F274" s="2">
        <v>40</v>
      </c>
    </row>
    <row r="275" spans="1:6" x14ac:dyDescent="0.3">
      <c r="A275" s="13">
        <v>45931</v>
      </c>
      <c r="B275" s="5">
        <v>2025</v>
      </c>
      <c r="C275" s="5">
        <v>10</v>
      </c>
      <c r="D275" s="5" t="s">
        <v>918</v>
      </c>
      <c r="E275" s="5" t="s">
        <v>919</v>
      </c>
      <c r="F275" s="5">
        <v>40</v>
      </c>
    </row>
    <row r="276" spans="1:6" x14ac:dyDescent="0.3">
      <c r="A276" s="12">
        <v>45932</v>
      </c>
      <c r="B276" s="2">
        <v>2025</v>
      </c>
      <c r="C276" s="2">
        <v>10</v>
      </c>
      <c r="D276" s="2" t="s">
        <v>918</v>
      </c>
      <c r="E276" s="2" t="s">
        <v>919</v>
      </c>
      <c r="F276" s="2">
        <v>40</v>
      </c>
    </row>
    <row r="277" spans="1:6" x14ac:dyDescent="0.3">
      <c r="A277" s="13">
        <v>45933</v>
      </c>
      <c r="B277" s="5">
        <v>2025</v>
      </c>
      <c r="C277" s="5">
        <v>10</v>
      </c>
      <c r="D277" s="5" t="s">
        <v>918</v>
      </c>
      <c r="E277" s="5" t="s">
        <v>919</v>
      </c>
      <c r="F277" s="5">
        <v>40</v>
      </c>
    </row>
    <row r="278" spans="1:6" x14ac:dyDescent="0.3">
      <c r="A278" s="12">
        <v>45934</v>
      </c>
      <c r="B278" s="2">
        <v>2025</v>
      </c>
      <c r="C278" s="2">
        <v>10</v>
      </c>
      <c r="D278" s="2" t="s">
        <v>918</v>
      </c>
      <c r="E278" s="2" t="s">
        <v>919</v>
      </c>
      <c r="F278" s="2">
        <v>40</v>
      </c>
    </row>
    <row r="279" spans="1:6" x14ac:dyDescent="0.3">
      <c r="A279" s="13">
        <v>45935</v>
      </c>
      <c r="B279" s="5">
        <v>2025</v>
      </c>
      <c r="C279" s="5">
        <v>10</v>
      </c>
      <c r="D279" s="5" t="s">
        <v>918</v>
      </c>
      <c r="E279" s="5" t="s">
        <v>919</v>
      </c>
      <c r="F279" s="5">
        <v>40</v>
      </c>
    </row>
    <row r="280" spans="1:6" x14ac:dyDescent="0.3">
      <c r="A280" s="12">
        <v>45936</v>
      </c>
      <c r="B280" s="2">
        <v>2025</v>
      </c>
      <c r="C280" s="2">
        <v>10</v>
      </c>
      <c r="D280" s="2" t="s">
        <v>918</v>
      </c>
      <c r="E280" s="2" t="s">
        <v>919</v>
      </c>
      <c r="F280" s="2">
        <v>41</v>
      </c>
    </row>
    <row r="281" spans="1:6" x14ac:dyDescent="0.3">
      <c r="A281" s="13">
        <v>45937</v>
      </c>
      <c r="B281" s="5">
        <v>2025</v>
      </c>
      <c r="C281" s="5">
        <v>10</v>
      </c>
      <c r="D281" s="5" t="s">
        <v>918</v>
      </c>
      <c r="E281" s="5" t="s">
        <v>919</v>
      </c>
      <c r="F281" s="5">
        <v>41</v>
      </c>
    </row>
    <row r="282" spans="1:6" x14ac:dyDescent="0.3">
      <c r="A282" s="12">
        <v>45938</v>
      </c>
      <c r="B282" s="2">
        <v>2025</v>
      </c>
      <c r="C282" s="2">
        <v>10</v>
      </c>
      <c r="D282" s="2" t="s">
        <v>918</v>
      </c>
      <c r="E282" s="2" t="s">
        <v>919</v>
      </c>
      <c r="F282" s="2">
        <v>41</v>
      </c>
    </row>
    <row r="283" spans="1:6" x14ac:dyDescent="0.3">
      <c r="A283" s="13">
        <v>45939</v>
      </c>
      <c r="B283" s="5">
        <v>2025</v>
      </c>
      <c r="C283" s="5">
        <v>10</v>
      </c>
      <c r="D283" s="5" t="s">
        <v>918</v>
      </c>
      <c r="E283" s="5" t="s">
        <v>919</v>
      </c>
      <c r="F283" s="5">
        <v>41</v>
      </c>
    </row>
    <row r="284" spans="1:6" x14ac:dyDescent="0.3">
      <c r="A284" s="12">
        <v>45940</v>
      </c>
      <c r="B284" s="2">
        <v>2025</v>
      </c>
      <c r="C284" s="2">
        <v>10</v>
      </c>
      <c r="D284" s="2" t="s">
        <v>918</v>
      </c>
      <c r="E284" s="2" t="s">
        <v>919</v>
      </c>
      <c r="F284" s="2">
        <v>41</v>
      </c>
    </row>
    <row r="285" spans="1:6" x14ac:dyDescent="0.3">
      <c r="A285" s="13">
        <v>45941</v>
      </c>
      <c r="B285" s="5">
        <v>2025</v>
      </c>
      <c r="C285" s="5">
        <v>10</v>
      </c>
      <c r="D285" s="5" t="s">
        <v>918</v>
      </c>
      <c r="E285" s="5" t="s">
        <v>919</v>
      </c>
      <c r="F285" s="5">
        <v>41</v>
      </c>
    </row>
    <row r="286" spans="1:6" x14ac:dyDescent="0.3">
      <c r="A286" s="12">
        <v>45942</v>
      </c>
      <c r="B286" s="2">
        <v>2025</v>
      </c>
      <c r="C286" s="2">
        <v>10</v>
      </c>
      <c r="D286" s="2" t="s">
        <v>918</v>
      </c>
      <c r="E286" s="2" t="s">
        <v>919</v>
      </c>
      <c r="F286" s="2">
        <v>41</v>
      </c>
    </row>
    <row r="287" spans="1:6" x14ac:dyDescent="0.3">
      <c r="A287" s="13">
        <v>45943</v>
      </c>
      <c r="B287" s="5">
        <v>2025</v>
      </c>
      <c r="C287" s="5">
        <v>10</v>
      </c>
      <c r="D287" s="5" t="s">
        <v>918</v>
      </c>
      <c r="E287" s="5" t="s">
        <v>919</v>
      </c>
      <c r="F287" s="5">
        <v>42</v>
      </c>
    </row>
    <row r="288" spans="1:6" x14ac:dyDescent="0.3">
      <c r="A288" s="12">
        <v>45944</v>
      </c>
      <c r="B288" s="2">
        <v>2025</v>
      </c>
      <c r="C288" s="2">
        <v>10</v>
      </c>
      <c r="D288" s="2" t="s">
        <v>918</v>
      </c>
      <c r="E288" s="2" t="s">
        <v>919</v>
      </c>
      <c r="F288" s="2">
        <v>42</v>
      </c>
    </row>
    <row r="289" spans="1:6" x14ac:dyDescent="0.3">
      <c r="A289" s="13">
        <v>45945</v>
      </c>
      <c r="B289" s="5">
        <v>2025</v>
      </c>
      <c r="C289" s="5">
        <v>10</v>
      </c>
      <c r="D289" s="5" t="s">
        <v>918</v>
      </c>
      <c r="E289" s="5" t="s">
        <v>919</v>
      </c>
      <c r="F289" s="5">
        <v>42</v>
      </c>
    </row>
    <row r="290" spans="1:6" x14ac:dyDescent="0.3">
      <c r="A290" s="12">
        <v>45946</v>
      </c>
      <c r="B290" s="2">
        <v>2025</v>
      </c>
      <c r="C290" s="2">
        <v>10</v>
      </c>
      <c r="D290" s="2" t="s">
        <v>918</v>
      </c>
      <c r="E290" s="2" t="s">
        <v>919</v>
      </c>
      <c r="F290" s="2">
        <v>42</v>
      </c>
    </row>
    <row r="291" spans="1:6" x14ac:dyDescent="0.3">
      <c r="A291" s="13">
        <v>45947</v>
      </c>
      <c r="B291" s="5">
        <v>2025</v>
      </c>
      <c r="C291" s="5">
        <v>10</v>
      </c>
      <c r="D291" s="5" t="s">
        <v>918</v>
      </c>
      <c r="E291" s="5" t="s">
        <v>919</v>
      </c>
      <c r="F291" s="5">
        <v>42</v>
      </c>
    </row>
    <row r="292" spans="1:6" x14ac:dyDescent="0.3">
      <c r="A292" s="12">
        <v>45948</v>
      </c>
      <c r="B292" s="2">
        <v>2025</v>
      </c>
      <c r="C292" s="2">
        <v>10</v>
      </c>
      <c r="D292" s="2" t="s">
        <v>918</v>
      </c>
      <c r="E292" s="2" t="s">
        <v>919</v>
      </c>
      <c r="F292" s="2">
        <v>42</v>
      </c>
    </row>
    <row r="293" spans="1:6" x14ac:dyDescent="0.3">
      <c r="A293" s="13">
        <v>45949</v>
      </c>
      <c r="B293" s="5">
        <v>2025</v>
      </c>
      <c r="C293" s="5">
        <v>10</v>
      </c>
      <c r="D293" s="5" t="s">
        <v>918</v>
      </c>
      <c r="E293" s="5" t="s">
        <v>919</v>
      </c>
      <c r="F293" s="5">
        <v>42</v>
      </c>
    </row>
    <row r="294" spans="1:6" x14ac:dyDescent="0.3">
      <c r="A294" s="12">
        <v>45950</v>
      </c>
      <c r="B294" s="2">
        <v>2025</v>
      </c>
      <c r="C294" s="2">
        <v>10</v>
      </c>
      <c r="D294" s="2" t="s">
        <v>918</v>
      </c>
      <c r="E294" s="2" t="s">
        <v>919</v>
      </c>
      <c r="F294" s="2">
        <v>43</v>
      </c>
    </row>
    <row r="295" spans="1:6" x14ac:dyDescent="0.3">
      <c r="A295" s="13">
        <v>45951</v>
      </c>
      <c r="B295" s="5">
        <v>2025</v>
      </c>
      <c r="C295" s="5">
        <v>10</v>
      </c>
      <c r="D295" s="5" t="s">
        <v>918</v>
      </c>
      <c r="E295" s="5" t="s">
        <v>919</v>
      </c>
      <c r="F295" s="5">
        <v>43</v>
      </c>
    </row>
    <row r="296" spans="1:6" x14ac:dyDescent="0.3">
      <c r="A296" s="12">
        <v>45952</v>
      </c>
      <c r="B296" s="2">
        <v>2025</v>
      </c>
      <c r="C296" s="2">
        <v>10</v>
      </c>
      <c r="D296" s="2" t="s">
        <v>918</v>
      </c>
      <c r="E296" s="2" t="s">
        <v>919</v>
      </c>
      <c r="F296" s="2">
        <v>43</v>
      </c>
    </row>
    <row r="297" spans="1:6" x14ac:dyDescent="0.3">
      <c r="A297" s="13">
        <v>45953</v>
      </c>
      <c r="B297" s="5">
        <v>2025</v>
      </c>
      <c r="C297" s="5">
        <v>10</v>
      </c>
      <c r="D297" s="5" t="s">
        <v>918</v>
      </c>
      <c r="E297" s="5" t="s">
        <v>919</v>
      </c>
      <c r="F297" s="5">
        <v>43</v>
      </c>
    </row>
    <row r="298" spans="1:6" x14ac:dyDescent="0.3">
      <c r="A298" s="12">
        <v>45954</v>
      </c>
      <c r="B298" s="2">
        <v>2025</v>
      </c>
      <c r="C298" s="2">
        <v>10</v>
      </c>
      <c r="D298" s="2" t="s">
        <v>918</v>
      </c>
      <c r="E298" s="2" t="s">
        <v>919</v>
      </c>
      <c r="F298" s="2">
        <v>43</v>
      </c>
    </row>
    <row r="299" spans="1:6" x14ac:dyDescent="0.3">
      <c r="A299" s="13">
        <v>45955</v>
      </c>
      <c r="B299" s="5">
        <v>2025</v>
      </c>
      <c r="C299" s="5">
        <v>10</v>
      </c>
      <c r="D299" s="5" t="s">
        <v>918</v>
      </c>
      <c r="E299" s="5" t="s">
        <v>919</v>
      </c>
      <c r="F299" s="5">
        <v>43</v>
      </c>
    </row>
    <row r="300" spans="1:6" x14ac:dyDescent="0.3">
      <c r="A300" s="12">
        <v>45956</v>
      </c>
      <c r="B300" s="2">
        <v>2025</v>
      </c>
      <c r="C300" s="2">
        <v>10</v>
      </c>
      <c r="D300" s="2" t="s">
        <v>918</v>
      </c>
      <c r="E300" s="2" t="s">
        <v>919</v>
      </c>
      <c r="F300" s="2">
        <v>43</v>
      </c>
    </row>
    <row r="301" spans="1:6" x14ac:dyDescent="0.3">
      <c r="A301" s="13">
        <v>45957</v>
      </c>
      <c r="B301" s="5">
        <v>2025</v>
      </c>
      <c r="C301" s="5">
        <v>10</v>
      </c>
      <c r="D301" s="5" t="s">
        <v>918</v>
      </c>
      <c r="E301" s="5" t="s">
        <v>919</v>
      </c>
      <c r="F301" s="5">
        <v>44</v>
      </c>
    </row>
    <row r="302" spans="1:6" x14ac:dyDescent="0.3">
      <c r="A302" s="12">
        <v>45958</v>
      </c>
      <c r="B302" s="2">
        <v>2025</v>
      </c>
      <c r="C302" s="2">
        <v>10</v>
      </c>
      <c r="D302" s="2" t="s">
        <v>918</v>
      </c>
      <c r="E302" s="2" t="s">
        <v>919</v>
      </c>
      <c r="F302" s="2">
        <v>44</v>
      </c>
    </row>
    <row r="303" spans="1:6" x14ac:dyDescent="0.3">
      <c r="A303" s="13">
        <v>45959</v>
      </c>
      <c r="B303" s="5">
        <v>2025</v>
      </c>
      <c r="C303" s="5">
        <v>10</v>
      </c>
      <c r="D303" s="5" t="s">
        <v>918</v>
      </c>
      <c r="E303" s="5" t="s">
        <v>919</v>
      </c>
      <c r="F303" s="5">
        <v>44</v>
      </c>
    </row>
    <row r="304" spans="1:6" x14ac:dyDescent="0.3">
      <c r="A304" s="12">
        <v>45960</v>
      </c>
      <c r="B304" s="2">
        <v>2025</v>
      </c>
      <c r="C304" s="2">
        <v>10</v>
      </c>
      <c r="D304" s="2" t="s">
        <v>918</v>
      </c>
      <c r="E304" s="2" t="s">
        <v>919</v>
      </c>
      <c r="F304" s="2">
        <v>44</v>
      </c>
    </row>
    <row r="305" spans="1:6" x14ac:dyDescent="0.3">
      <c r="A305" s="13">
        <v>45961</v>
      </c>
      <c r="B305" s="5">
        <v>2025</v>
      </c>
      <c r="C305" s="5">
        <v>10</v>
      </c>
      <c r="D305" s="5" t="s">
        <v>918</v>
      </c>
      <c r="E305" s="5" t="s">
        <v>919</v>
      </c>
      <c r="F305" s="5">
        <v>44</v>
      </c>
    </row>
    <row r="306" spans="1:6" x14ac:dyDescent="0.3">
      <c r="A306" s="12">
        <v>45962</v>
      </c>
      <c r="B306" s="2">
        <v>2025</v>
      </c>
      <c r="C306" s="2">
        <v>11</v>
      </c>
      <c r="D306" s="2" t="s">
        <v>920</v>
      </c>
      <c r="E306" s="2" t="s">
        <v>919</v>
      </c>
      <c r="F306" s="2">
        <v>44</v>
      </c>
    </row>
    <row r="307" spans="1:6" x14ac:dyDescent="0.3">
      <c r="A307" s="13">
        <v>45963</v>
      </c>
      <c r="B307" s="5">
        <v>2025</v>
      </c>
      <c r="C307" s="5">
        <v>11</v>
      </c>
      <c r="D307" s="5" t="s">
        <v>920</v>
      </c>
      <c r="E307" s="5" t="s">
        <v>919</v>
      </c>
      <c r="F307" s="5">
        <v>44</v>
      </c>
    </row>
    <row r="308" spans="1:6" x14ac:dyDescent="0.3">
      <c r="A308" s="12">
        <v>45964</v>
      </c>
      <c r="B308" s="2">
        <v>2025</v>
      </c>
      <c r="C308" s="2">
        <v>11</v>
      </c>
      <c r="D308" s="2" t="s">
        <v>920</v>
      </c>
      <c r="E308" s="2" t="s">
        <v>919</v>
      </c>
      <c r="F308" s="2">
        <v>45</v>
      </c>
    </row>
    <row r="309" spans="1:6" x14ac:dyDescent="0.3">
      <c r="A309" s="13">
        <v>45965</v>
      </c>
      <c r="B309" s="5">
        <v>2025</v>
      </c>
      <c r="C309" s="5">
        <v>11</v>
      </c>
      <c r="D309" s="5" t="s">
        <v>920</v>
      </c>
      <c r="E309" s="5" t="s">
        <v>919</v>
      </c>
      <c r="F309" s="5">
        <v>45</v>
      </c>
    </row>
    <row r="310" spans="1:6" x14ac:dyDescent="0.3">
      <c r="A310" s="12">
        <v>45966</v>
      </c>
      <c r="B310" s="2">
        <v>2025</v>
      </c>
      <c r="C310" s="2">
        <v>11</v>
      </c>
      <c r="D310" s="2" t="s">
        <v>920</v>
      </c>
      <c r="E310" s="2" t="s">
        <v>919</v>
      </c>
      <c r="F310" s="2">
        <v>45</v>
      </c>
    </row>
    <row r="311" spans="1:6" x14ac:dyDescent="0.3">
      <c r="A311" s="13">
        <v>45967</v>
      </c>
      <c r="B311" s="5">
        <v>2025</v>
      </c>
      <c r="C311" s="5">
        <v>11</v>
      </c>
      <c r="D311" s="5" t="s">
        <v>920</v>
      </c>
      <c r="E311" s="5" t="s">
        <v>919</v>
      </c>
      <c r="F311" s="5">
        <v>45</v>
      </c>
    </row>
    <row r="312" spans="1:6" x14ac:dyDescent="0.3">
      <c r="A312" s="12">
        <v>45968</v>
      </c>
      <c r="B312" s="2">
        <v>2025</v>
      </c>
      <c r="C312" s="2">
        <v>11</v>
      </c>
      <c r="D312" s="2" t="s">
        <v>920</v>
      </c>
      <c r="E312" s="2" t="s">
        <v>919</v>
      </c>
      <c r="F312" s="2">
        <v>45</v>
      </c>
    </row>
    <row r="313" spans="1:6" x14ac:dyDescent="0.3">
      <c r="A313" s="13">
        <v>45969</v>
      </c>
      <c r="B313" s="5">
        <v>2025</v>
      </c>
      <c r="C313" s="5">
        <v>11</v>
      </c>
      <c r="D313" s="5" t="s">
        <v>920</v>
      </c>
      <c r="E313" s="5" t="s">
        <v>919</v>
      </c>
      <c r="F313" s="5">
        <v>45</v>
      </c>
    </row>
    <row r="314" spans="1:6" x14ac:dyDescent="0.3">
      <c r="A314" s="12">
        <v>45970</v>
      </c>
      <c r="B314" s="2">
        <v>2025</v>
      </c>
      <c r="C314" s="2">
        <v>11</v>
      </c>
      <c r="D314" s="2" t="s">
        <v>920</v>
      </c>
      <c r="E314" s="2" t="s">
        <v>919</v>
      </c>
      <c r="F314" s="2">
        <v>45</v>
      </c>
    </row>
    <row r="315" spans="1:6" x14ac:dyDescent="0.3">
      <c r="A315" s="13">
        <v>45971</v>
      </c>
      <c r="B315" s="5">
        <v>2025</v>
      </c>
      <c r="C315" s="5">
        <v>11</v>
      </c>
      <c r="D315" s="5" t="s">
        <v>920</v>
      </c>
      <c r="E315" s="5" t="s">
        <v>919</v>
      </c>
      <c r="F315" s="5">
        <v>46</v>
      </c>
    </row>
    <row r="316" spans="1:6" x14ac:dyDescent="0.3">
      <c r="A316" s="12">
        <v>45972</v>
      </c>
      <c r="B316" s="2">
        <v>2025</v>
      </c>
      <c r="C316" s="2">
        <v>11</v>
      </c>
      <c r="D316" s="2" t="s">
        <v>920</v>
      </c>
      <c r="E316" s="2" t="s">
        <v>919</v>
      </c>
      <c r="F316" s="2">
        <v>46</v>
      </c>
    </row>
    <row r="317" spans="1:6" x14ac:dyDescent="0.3">
      <c r="A317" s="13">
        <v>45973</v>
      </c>
      <c r="B317" s="5">
        <v>2025</v>
      </c>
      <c r="C317" s="5">
        <v>11</v>
      </c>
      <c r="D317" s="5" t="s">
        <v>920</v>
      </c>
      <c r="E317" s="5" t="s">
        <v>919</v>
      </c>
      <c r="F317" s="5">
        <v>46</v>
      </c>
    </row>
    <row r="318" spans="1:6" x14ac:dyDescent="0.3">
      <c r="A318" s="12">
        <v>45974</v>
      </c>
      <c r="B318" s="2">
        <v>2025</v>
      </c>
      <c r="C318" s="2">
        <v>11</v>
      </c>
      <c r="D318" s="2" t="s">
        <v>920</v>
      </c>
      <c r="E318" s="2" t="s">
        <v>919</v>
      </c>
      <c r="F318" s="2">
        <v>46</v>
      </c>
    </row>
    <row r="319" spans="1:6" x14ac:dyDescent="0.3">
      <c r="A319" s="13">
        <v>45975</v>
      </c>
      <c r="B319" s="5">
        <v>2025</v>
      </c>
      <c r="C319" s="5">
        <v>11</v>
      </c>
      <c r="D319" s="5" t="s">
        <v>920</v>
      </c>
      <c r="E319" s="5" t="s">
        <v>919</v>
      </c>
      <c r="F319" s="5">
        <v>46</v>
      </c>
    </row>
    <row r="320" spans="1:6" x14ac:dyDescent="0.3">
      <c r="A320" s="12">
        <v>45976</v>
      </c>
      <c r="B320" s="2">
        <v>2025</v>
      </c>
      <c r="C320" s="2">
        <v>11</v>
      </c>
      <c r="D320" s="2" t="s">
        <v>920</v>
      </c>
      <c r="E320" s="2" t="s">
        <v>919</v>
      </c>
      <c r="F320" s="2">
        <v>46</v>
      </c>
    </row>
    <row r="321" spans="1:6" x14ac:dyDescent="0.3">
      <c r="A321" s="13">
        <v>45977</v>
      </c>
      <c r="B321" s="5">
        <v>2025</v>
      </c>
      <c r="C321" s="5">
        <v>11</v>
      </c>
      <c r="D321" s="5" t="s">
        <v>920</v>
      </c>
      <c r="E321" s="5" t="s">
        <v>919</v>
      </c>
      <c r="F321" s="5">
        <v>46</v>
      </c>
    </row>
    <row r="322" spans="1:6" x14ac:dyDescent="0.3">
      <c r="A322" s="12">
        <v>45978</v>
      </c>
      <c r="B322" s="2">
        <v>2025</v>
      </c>
      <c r="C322" s="2">
        <v>11</v>
      </c>
      <c r="D322" s="2" t="s">
        <v>920</v>
      </c>
      <c r="E322" s="2" t="s">
        <v>919</v>
      </c>
      <c r="F322" s="2">
        <v>47</v>
      </c>
    </row>
    <row r="323" spans="1:6" x14ac:dyDescent="0.3">
      <c r="A323" s="13">
        <v>45979</v>
      </c>
      <c r="B323" s="5">
        <v>2025</v>
      </c>
      <c r="C323" s="5">
        <v>11</v>
      </c>
      <c r="D323" s="5" t="s">
        <v>920</v>
      </c>
      <c r="E323" s="5" t="s">
        <v>919</v>
      </c>
      <c r="F323" s="5">
        <v>47</v>
      </c>
    </row>
    <row r="324" spans="1:6" x14ac:dyDescent="0.3">
      <c r="A324" s="12">
        <v>45980</v>
      </c>
      <c r="B324" s="2">
        <v>2025</v>
      </c>
      <c r="C324" s="2">
        <v>11</v>
      </c>
      <c r="D324" s="2" t="s">
        <v>920</v>
      </c>
      <c r="E324" s="2" t="s">
        <v>919</v>
      </c>
      <c r="F324" s="2">
        <v>47</v>
      </c>
    </row>
    <row r="325" spans="1:6" x14ac:dyDescent="0.3">
      <c r="A325" s="13">
        <v>45981</v>
      </c>
      <c r="B325" s="5">
        <v>2025</v>
      </c>
      <c r="C325" s="5">
        <v>11</v>
      </c>
      <c r="D325" s="5" t="s">
        <v>920</v>
      </c>
      <c r="E325" s="5" t="s">
        <v>919</v>
      </c>
      <c r="F325" s="5">
        <v>47</v>
      </c>
    </row>
    <row r="326" spans="1:6" x14ac:dyDescent="0.3">
      <c r="A326" s="12">
        <v>45982</v>
      </c>
      <c r="B326" s="2">
        <v>2025</v>
      </c>
      <c r="C326" s="2">
        <v>11</v>
      </c>
      <c r="D326" s="2" t="s">
        <v>920</v>
      </c>
      <c r="E326" s="2" t="s">
        <v>919</v>
      </c>
      <c r="F326" s="2">
        <v>47</v>
      </c>
    </row>
    <row r="327" spans="1:6" x14ac:dyDescent="0.3">
      <c r="A327" s="13">
        <v>45983</v>
      </c>
      <c r="B327" s="5">
        <v>2025</v>
      </c>
      <c r="C327" s="5">
        <v>11</v>
      </c>
      <c r="D327" s="5" t="s">
        <v>920</v>
      </c>
      <c r="E327" s="5" t="s">
        <v>919</v>
      </c>
      <c r="F327" s="5">
        <v>47</v>
      </c>
    </row>
    <row r="328" spans="1:6" x14ac:dyDescent="0.3">
      <c r="A328" s="12">
        <v>45984</v>
      </c>
      <c r="B328" s="2">
        <v>2025</v>
      </c>
      <c r="C328" s="2">
        <v>11</v>
      </c>
      <c r="D328" s="2" t="s">
        <v>920</v>
      </c>
      <c r="E328" s="2" t="s">
        <v>919</v>
      </c>
      <c r="F328" s="2">
        <v>47</v>
      </c>
    </row>
    <row r="329" spans="1:6" x14ac:dyDescent="0.3">
      <c r="A329" s="13">
        <v>45985</v>
      </c>
      <c r="B329" s="5">
        <v>2025</v>
      </c>
      <c r="C329" s="5">
        <v>11</v>
      </c>
      <c r="D329" s="5" t="s">
        <v>920</v>
      </c>
      <c r="E329" s="5" t="s">
        <v>919</v>
      </c>
      <c r="F329" s="5">
        <v>48</v>
      </c>
    </row>
    <row r="330" spans="1:6" x14ac:dyDescent="0.3">
      <c r="A330" s="12">
        <v>45986</v>
      </c>
      <c r="B330" s="2">
        <v>2025</v>
      </c>
      <c r="C330" s="2">
        <v>11</v>
      </c>
      <c r="D330" s="2" t="s">
        <v>920</v>
      </c>
      <c r="E330" s="2" t="s">
        <v>919</v>
      </c>
      <c r="F330" s="2">
        <v>48</v>
      </c>
    </row>
    <row r="331" spans="1:6" x14ac:dyDescent="0.3">
      <c r="A331" s="13">
        <v>45987</v>
      </c>
      <c r="B331" s="5">
        <v>2025</v>
      </c>
      <c r="C331" s="5">
        <v>11</v>
      </c>
      <c r="D331" s="5" t="s">
        <v>920</v>
      </c>
      <c r="E331" s="5" t="s">
        <v>919</v>
      </c>
      <c r="F331" s="5">
        <v>48</v>
      </c>
    </row>
    <row r="332" spans="1:6" x14ac:dyDescent="0.3">
      <c r="A332" s="12">
        <v>45988</v>
      </c>
      <c r="B332" s="2">
        <v>2025</v>
      </c>
      <c r="C332" s="2">
        <v>11</v>
      </c>
      <c r="D332" s="2" t="s">
        <v>920</v>
      </c>
      <c r="E332" s="2" t="s">
        <v>919</v>
      </c>
      <c r="F332" s="2">
        <v>48</v>
      </c>
    </row>
    <row r="333" spans="1:6" x14ac:dyDescent="0.3">
      <c r="A333" s="13">
        <v>45989</v>
      </c>
      <c r="B333" s="5">
        <v>2025</v>
      </c>
      <c r="C333" s="5">
        <v>11</v>
      </c>
      <c r="D333" s="5" t="s">
        <v>920</v>
      </c>
      <c r="E333" s="5" t="s">
        <v>919</v>
      </c>
      <c r="F333" s="5">
        <v>48</v>
      </c>
    </row>
    <row r="334" spans="1:6" x14ac:dyDescent="0.3">
      <c r="A334" s="12">
        <v>45990</v>
      </c>
      <c r="B334" s="2">
        <v>2025</v>
      </c>
      <c r="C334" s="2">
        <v>11</v>
      </c>
      <c r="D334" s="2" t="s">
        <v>920</v>
      </c>
      <c r="E334" s="2" t="s">
        <v>919</v>
      </c>
      <c r="F334" s="2">
        <v>48</v>
      </c>
    </row>
    <row r="335" spans="1:6" x14ac:dyDescent="0.3">
      <c r="A335" s="13">
        <v>45991</v>
      </c>
      <c r="B335" s="5">
        <v>2025</v>
      </c>
      <c r="C335" s="5">
        <v>11</v>
      </c>
      <c r="D335" s="5" t="s">
        <v>920</v>
      </c>
      <c r="E335" s="5" t="s">
        <v>919</v>
      </c>
      <c r="F335" s="5">
        <v>48</v>
      </c>
    </row>
    <row r="336" spans="1:6" x14ac:dyDescent="0.3">
      <c r="A336" s="12">
        <v>45992</v>
      </c>
      <c r="B336" s="2">
        <v>2025</v>
      </c>
      <c r="C336" s="2">
        <v>12</v>
      </c>
      <c r="D336" s="2" t="s">
        <v>921</v>
      </c>
      <c r="E336" s="2" t="s">
        <v>919</v>
      </c>
      <c r="F336" s="2">
        <v>49</v>
      </c>
    </row>
    <row r="337" spans="1:6" x14ac:dyDescent="0.3">
      <c r="A337" s="13">
        <v>45993</v>
      </c>
      <c r="B337" s="5">
        <v>2025</v>
      </c>
      <c r="C337" s="5">
        <v>12</v>
      </c>
      <c r="D337" s="5" t="s">
        <v>921</v>
      </c>
      <c r="E337" s="5" t="s">
        <v>919</v>
      </c>
      <c r="F337" s="5">
        <v>49</v>
      </c>
    </row>
    <row r="338" spans="1:6" x14ac:dyDescent="0.3">
      <c r="A338" s="12">
        <v>45994</v>
      </c>
      <c r="B338" s="2">
        <v>2025</v>
      </c>
      <c r="C338" s="2">
        <v>12</v>
      </c>
      <c r="D338" s="2" t="s">
        <v>921</v>
      </c>
      <c r="E338" s="2" t="s">
        <v>919</v>
      </c>
      <c r="F338" s="2">
        <v>49</v>
      </c>
    </row>
    <row r="339" spans="1:6" x14ac:dyDescent="0.3">
      <c r="A339" s="13">
        <v>45995</v>
      </c>
      <c r="B339" s="5">
        <v>2025</v>
      </c>
      <c r="C339" s="5">
        <v>12</v>
      </c>
      <c r="D339" s="5" t="s">
        <v>921</v>
      </c>
      <c r="E339" s="5" t="s">
        <v>919</v>
      </c>
      <c r="F339" s="5">
        <v>49</v>
      </c>
    </row>
    <row r="340" spans="1:6" x14ac:dyDescent="0.3">
      <c r="A340" s="12">
        <v>45996</v>
      </c>
      <c r="B340" s="2">
        <v>2025</v>
      </c>
      <c r="C340" s="2">
        <v>12</v>
      </c>
      <c r="D340" s="2" t="s">
        <v>921</v>
      </c>
      <c r="E340" s="2" t="s">
        <v>919</v>
      </c>
      <c r="F340" s="2">
        <v>49</v>
      </c>
    </row>
    <row r="341" spans="1:6" x14ac:dyDescent="0.3">
      <c r="A341" s="13">
        <v>45997</v>
      </c>
      <c r="B341" s="5">
        <v>2025</v>
      </c>
      <c r="C341" s="5">
        <v>12</v>
      </c>
      <c r="D341" s="5" t="s">
        <v>921</v>
      </c>
      <c r="E341" s="5" t="s">
        <v>919</v>
      </c>
      <c r="F341" s="5">
        <v>49</v>
      </c>
    </row>
    <row r="342" spans="1:6" x14ac:dyDescent="0.3">
      <c r="A342" s="12">
        <v>45998</v>
      </c>
      <c r="B342" s="2">
        <v>2025</v>
      </c>
      <c r="C342" s="2">
        <v>12</v>
      </c>
      <c r="D342" s="2" t="s">
        <v>921</v>
      </c>
      <c r="E342" s="2" t="s">
        <v>919</v>
      </c>
      <c r="F342" s="2">
        <v>49</v>
      </c>
    </row>
    <row r="343" spans="1:6" x14ac:dyDescent="0.3">
      <c r="A343" s="13">
        <v>45999</v>
      </c>
      <c r="B343" s="5">
        <v>2025</v>
      </c>
      <c r="C343" s="5">
        <v>12</v>
      </c>
      <c r="D343" s="5" t="s">
        <v>921</v>
      </c>
      <c r="E343" s="5" t="s">
        <v>919</v>
      </c>
      <c r="F343" s="5">
        <v>50</v>
      </c>
    </row>
    <row r="344" spans="1:6" x14ac:dyDescent="0.3">
      <c r="A344" s="12">
        <v>46000</v>
      </c>
      <c r="B344" s="2">
        <v>2025</v>
      </c>
      <c r="C344" s="2">
        <v>12</v>
      </c>
      <c r="D344" s="2" t="s">
        <v>921</v>
      </c>
      <c r="E344" s="2" t="s">
        <v>919</v>
      </c>
      <c r="F344" s="2">
        <v>50</v>
      </c>
    </row>
    <row r="345" spans="1:6" x14ac:dyDescent="0.3">
      <c r="A345" s="13">
        <v>46001</v>
      </c>
      <c r="B345" s="5">
        <v>2025</v>
      </c>
      <c r="C345" s="5">
        <v>12</v>
      </c>
      <c r="D345" s="5" t="s">
        <v>921</v>
      </c>
      <c r="E345" s="5" t="s">
        <v>919</v>
      </c>
      <c r="F345" s="5">
        <v>50</v>
      </c>
    </row>
    <row r="346" spans="1:6" x14ac:dyDescent="0.3">
      <c r="A346" s="12">
        <v>46002</v>
      </c>
      <c r="B346" s="2">
        <v>2025</v>
      </c>
      <c r="C346" s="2">
        <v>12</v>
      </c>
      <c r="D346" s="2" t="s">
        <v>921</v>
      </c>
      <c r="E346" s="2" t="s">
        <v>919</v>
      </c>
      <c r="F346" s="2">
        <v>50</v>
      </c>
    </row>
    <row r="347" spans="1:6" x14ac:dyDescent="0.3">
      <c r="A347" s="13">
        <v>46003</v>
      </c>
      <c r="B347" s="5">
        <v>2025</v>
      </c>
      <c r="C347" s="5">
        <v>12</v>
      </c>
      <c r="D347" s="5" t="s">
        <v>921</v>
      </c>
      <c r="E347" s="5" t="s">
        <v>919</v>
      </c>
      <c r="F347" s="5">
        <v>50</v>
      </c>
    </row>
    <row r="348" spans="1:6" x14ac:dyDescent="0.3">
      <c r="A348" s="12">
        <v>46004</v>
      </c>
      <c r="B348" s="2">
        <v>2025</v>
      </c>
      <c r="C348" s="2">
        <v>12</v>
      </c>
      <c r="D348" s="2" t="s">
        <v>921</v>
      </c>
      <c r="E348" s="2" t="s">
        <v>919</v>
      </c>
      <c r="F348" s="2">
        <v>50</v>
      </c>
    </row>
    <row r="349" spans="1:6" x14ac:dyDescent="0.3">
      <c r="A349" s="13">
        <v>46005</v>
      </c>
      <c r="B349" s="5">
        <v>2025</v>
      </c>
      <c r="C349" s="5">
        <v>12</v>
      </c>
      <c r="D349" s="5" t="s">
        <v>921</v>
      </c>
      <c r="E349" s="5" t="s">
        <v>919</v>
      </c>
      <c r="F349" s="5">
        <v>50</v>
      </c>
    </row>
    <row r="350" spans="1:6" x14ac:dyDescent="0.3">
      <c r="A350" s="12">
        <v>46006</v>
      </c>
      <c r="B350" s="2">
        <v>2025</v>
      </c>
      <c r="C350" s="2">
        <v>12</v>
      </c>
      <c r="D350" s="2" t="s">
        <v>921</v>
      </c>
      <c r="E350" s="2" t="s">
        <v>919</v>
      </c>
      <c r="F350" s="2">
        <v>51</v>
      </c>
    </row>
    <row r="351" spans="1:6" x14ac:dyDescent="0.3">
      <c r="A351" s="13">
        <v>46007</v>
      </c>
      <c r="B351" s="5">
        <v>2025</v>
      </c>
      <c r="C351" s="5">
        <v>12</v>
      </c>
      <c r="D351" s="5" t="s">
        <v>921</v>
      </c>
      <c r="E351" s="5" t="s">
        <v>919</v>
      </c>
      <c r="F351" s="5">
        <v>51</v>
      </c>
    </row>
    <row r="352" spans="1:6" x14ac:dyDescent="0.3">
      <c r="A352" s="12">
        <v>46008</v>
      </c>
      <c r="B352" s="2">
        <v>2025</v>
      </c>
      <c r="C352" s="2">
        <v>12</v>
      </c>
      <c r="D352" s="2" t="s">
        <v>921</v>
      </c>
      <c r="E352" s="2" t="s">
        <v>919</v>
      </c>
      <c r="F352" s="2">
        <v>51</v>
      </c>
    </row>
    <row r="353" spans="1:6" x14ac:dyDescent="0.3">
      <c r="A353" s="13">
        <v>46009</v>
      </c>
      <c r="B353" s="5">
        <v>2025</v>
      </c>
      <c r="C353" s="5">
        <v>12</v>
      </c>
      <c r="D353" s="5" t="s">
        <v>921</v>
      </c>
      <c r="E353" s="5" t="s">
        <v>919</v>
      </c>
      <c r="F353" s="5">
        <v>51</v>
      </c>
    </row>
    <row r="354" spans="1:6" x14ac:dyDescent="0.3">
      <c r="A354" s="12">
        <v>46010</v>
      </c>
      <c r="B354" s="2">
        <v>2025</v>
      </c>
      <c r="C354" s="2">
        <v>12</v>
      </c>
      <c r="D354" s="2" t="s">
        <v>921</v>
      </c>
      <c r="E354" s="2" t="s">
        <v>919</v>
      </c>
      <c r="F354" s="2">
        <v>51</v>
      </c>
    </row>
    <row r="355" spans="1:6" x14ac:dyDescent="0.3">
      <c r="A355" s="13">
        <v>46011</v>
      </c>
      <c r="B355" s="5">
        <v>2025</v>
      </c>
      <c r="C355" s="5">
        <v>12</v>
      </c>
      <c r="D355" s="5" t="s">
        <v>921</v>
      </c>
      <c r="E355" s="5" t="s">
        <v>919</v>
      </c>
      <c r="F355" s="5">
        <v>51</v>
      </c>
    </row>
    <row r="356" spans="1:6" x14ac:dyDescent="0.3">
      <c r="A356" s="12">
        <v>46012</v>
      </c>
      <c r="B356" s="2">
        <v>2025</v>
      </c>
      <c r="C356" s="2">
        <v>12</v>
      </c>
      <c r="D356" s="2" t="s">
        <v>921</v>
      </c>
      <c r="E356" s="2" t="s">
        <v>919</v>
      </c>
      <c r="F356" s="2">
        <v>51</v>
      </c>
    </row>
    <row r="357" spans="1:6" x14ac:dyDescent="0.3">
      <c r="A357" s="13">
        <v>46013</v>
      </c>
      <c r="B357" s="5">
        <v>2025</v>
      </c>
      <c r="C357" s="5">
        <v>12</v>
      </c>
      <c r="D357" s="5" t="s">
        <v>921</v>
      </c>
      <c r="E357" s="5" t="s">
        <v>919</v>
      </c>
      <c r="F357" s="5">
        <v>52</v>
      </c>
    </row>
    <row r="358" spans="1:6" x14ac:dyDescent="0.3">
      <c r="A358" s="12">
        <v>46014</v>
      </c>
      <c r="B358" s="2">
        <v>2025</v>
      </c>
      <c r="C358" s="2">
        <v>12</v>
      </c>
      <c r="D358" s="2" t="s">
        <v>921</v>
      </c>
      <c r="E358" s="2" t="s">
        <v>919</v>
      </c>
      <c r="F358" s="2">
        <v>52</v>
      </c>
    </row>
    <row r="359" spans="1:6" x14ac:dyDescent="0.3">
      <c r="A359" s="13">
        <v>46015</v>
      </c>
      <c r="B359" s="5">
        <v>2025</v>
      </c>
      <c r="C359" s="5">
        <v>12</v>
      </c>
      <c r="D359" s="5" t="s">
        <v>921</v>
      </c>
      <c r="E359" s="5" t="s">
        <v>919</v>
      </c>
      <c r="F359" s="5">
        <v>52</v>
      </c>
    </row>
    <row r="360" spans="1:6" x14ac:dyDescent="0.3">
      <c r="A360" s="12">
        <v>46016</v>
      </c>
      <c r="B360" s="2">
        <v>2025</v>
      </c>
      <c r="C360" s="2">
        <v>12</v>
      </c>
      <c r="D360" s="2" t="s">
        <v>921</v>
      </c>
      <c r="E360" s="2" t="s">
        <v>919</v>
      </c>
      <c r="F360" s="2">
        <v>52</v>
      </c>
    </row>
    <row r="361" spans="1:6" x14ac:dyDescent="0.3">
      <c r="A361" s="13">
        <v>46017</v>
      </c>
      <c r="B361" s="5">
        <v>2025</v>
      </c>
      <c r="C361" s="5">
        <v>12</v>
      </c>
      <c r="D361" s="5" t="s">
        <v>921</v>
      </c>
      <c r="E361" s="5" t="s">
        <v>919</v>
      </c>
      <c r="F361" s="5">
        <v>52</v>
      </c>
    </row>
    <row r="362" spans="1:6" x14ac:dyDescent="0.3">
      <c r="A362" s="12">
        <v>46018</v>
      </c>
      <c r="B362" s="2">
        <v>2025</v>
      </c>
      <c r="C362" s="2">
        <v>12</v>
      </c>
      <c r="D362" s="2" t="s">
        <v>921</v>
      </c>
      <c r="E362" s="2" t="s">
        <v>919</v>
      </c>
      <c r="F362" s="2">
        <v>52</v>
      </c>
    </row>
    <row r="363" spans="1:6" x14ac:dyDescent="0.3">
      <c r="A363" s="13">
        <v>46019</v>
      </c>
      <c r="B363" s="5">
        <v>2025</v>
      </c>
      <c r="C363" s="5">
        <v>12</v>
      </c>
      <c r="D363" s="5" t="s">
        <v>921</v>
      </c>
      <c r="E363" s="5" t="s">
        <v>919</v>
      </c>
      <c r="F363" s="5">
        <v>52</v>
      </c>
    </row>
    <row r="364" spans="1:6" x14ac:dyDescent="0.3">
      <c r="A364" s="12">
        <v>46020</v>
      </c>
      <c r="B364" s="2">
        <v>2025</v>
      </c>
      <c r="C364" s="2">
        <v>12</v>
      </c>
      <c r="D364" s="2" t="s">
        <v>921</v>
      </c>
      <c r="E364" s="2" t="s">
        <v>919</v>
      </c>
      <c r="F364" s="2">
        <v>1</v>
      </c>
    </row>
    <row r="365" spans="1:6" x14ac:dyDescent="0.3">
      <c r="A365" s="13">
        <v>46021</v>
      </c>
      <c r="B365" s="5">
        <v>2025</v>
      </c>
      <c r="C365" s="5">
        <v>12</v>
      </c>
      <c r="D365" s="5" t="s">
        <v>921</v>
      </c>
      <c r="E365" s="5" t="s">
        <v>919</v>
      </c>
      <c r="F365" s="5">
        <v>1</v>
      </c>
    </row>
    <row r="366" spans="1:6" x14ac:dyDescent="0.3">
      <c r="A366" s="12">
        <v>46022</v>
      </c>
      <c r="B366" s="2">
        <v>2025</v>
      </c>
      <c r="C366" s="2">
        <v>12</v>
      </c>
      <c r="D366" s="2" t="s">
        <v>921</v>
      </c>
      <c r="E366" s="2" t="s">
        <v>919</v>
      </c>
      <c r="F366" s="2">
        <v>1</v>
      </c>
    </row>
    <row r="367" spans="1:6" x14ac:dyDescent="0.3">
      <c r="A367" s="13">
        <v>46023</v>
      </c>
      <c r="B367" s="5">
        <v>2026</v>
      </c>
      <c r="C367" s="5">
        <v>1</v>
      </c>
      <c r="D367" s="5" t="s">
        <v>906</v>
      </c>
      <c r="E367" s="5" t="s">
        <v>907</v>
      </c>
      <c r="F367" s="5">
        <v>1</v>
      </c>
    </row>
    <row r="368" spans="1:6" x14ac:dyDescent="0.3">
      <c r="A368" s="12">
        <v>46024</v>
      </c>
      <c r="B368" s="2">
        <v>2026</v>
      </c>
      <c r="C368" s="2">
        <v>1</v>
      </c>
      <c r="D368" s="2" t="s">
        <v>906</v>
      </c>
      <c r="E368" s="2" t="s">
        <v>907</v>
      </c>
      <c r="F368" s="2">
        <v>1</v>
      </c>
    </row>
    <row r="369" spans="1:6" x14ac:dyDescent="0.3">
      <c r="A369" s="13">
        <v>46025</v>
      </c>
      <c r="B369" s="5">
        <v>2026</v>
      </c>
      <c r="C369" s="5">
        <v>1</v>
      </c>
      <c r="D369" s="5" t="s">
        <v>906</v>
      </c>
      <c r="E369" s="5" t="s">
        <v>907</v>
      </c>
      <c r="F369" s="5">
        <v>1</v>
      </c>
    </row>
    <row r="370" spans="1:6" x14ac:dyDescent="0.3">
      <c r="A370" s="12">
        <v>46026</v>
      </c>
      <c r="B370" s="2">
        <v>2026</v>
      </c>
      <c r="C370" s="2">
        <v>1</v>
      </c>
      <c r="D370" s="2" t="s">
        <v>906</v>
      </c>
      <c r="E370" s="2" t="s">
        <v>907</v>
      </c>
      <c r="F370" s="2">
        <v>1</v>
      </c>
    </row>
    <row r="371" spans="1:6" x14ac:dyDescent="0.3">
      <c r="A371" s="13">
        <v>46027</v>
      </c>
      <c r="B371" s="5">
        <v>2026</v>
      </c>
      <c r="C371" s="5">
        <v>1</v>
      </c>
      <c r="D371" s="5" t="s">
        <v>906</v>
      </c>
      <c r="E371" s="5" t="s">
        <v>907</v>
      </c>
      <c r="F371" s="5">
        <v>2</v>
      </c>
    </row>
    <row r="372" spans="1:6" x14ac:dyDescent="0.3">
      <c r="A372" s="12">
        <v>46028</v>
      </c>
      <c r="B372" s="2">
        <v>2026</v>
      </c>
      <c r="C372" s="2">
        <v>1</v>
      </c>
      <c r="D372" s="2" t="s">
        <v>906</v>
      </c>
      <c r="E372" s="2" t="s">
        <v>907</v>
      </c>
      <c r="F372" s="2">
        <v>2</v>
      </c>
    </row>
    <row r="373" spans="1:6" x14ac:dyDescent="0.3">
      <c r="A373" s="13">
        <v>46029</v>
      </c>
      <c r="B373" s="5">
        <v>2026</v>
      </c>
      <c r="C373" s="5">
        <v>1</v>
      </c>
      <c r="D373" s="5" t="s">
        <v>906</v>
      </c>
      <c r="E373" s="5" t="s">
        <v>907</v>
      </c>
      <c r="F373" s="5">
        <v>2</v>
      </c>
    </row>
    <row r="374" spans="1:6" x14ac:dyDescent="0.3">
      <c r="A374" s="12">
        <v>46030</v>
      </c>
      <c r="B374" s="2">
        <v>2026</v>
      </c>
      <c r="C374" s="2">
        <v>1</v>
      </c>
      <c r="D374" s="2" t="s">
        <v>906</v>
      </c>
      <c r="E374" s="2" t="s">
        <v>907</v>
      </c>
      <c r="F374" s="2">
        <v>2</v>
      </c>
    </row>
    <row r="375" spans="1:6" x14ac:dyDescent="0.3">
      <c r="A375" s="13">
        <v>46031</v>
      </c>
      <c r="B375" s="5">
        <v>2026</v>
      </c>
      <c r="C375" s="5">
        <v>1</v>
      </c>
      <c r="D375" s="5" t="s">
        <v>906</v>
      </c>
      <c r="E375" s="5" t="s">
        <v>907</v>
      </c>
      <c r="F375" s="5">
        <v>2</v>
      </c>
    </row>
    <row r="376" spans="1:6" x14ac:dyDescent="0.3">
      <c r="A376" s="12">
        <v>46032</v>
      </c>
      <c r="B376" s="2">
        <v>2026</v>
      </c>
      <c r="C376" s="2">
        <v>1</v>
      </c>
      <c r="D376" s="2" t="s">
        <v>906</v>
      </c>
      <c r="E376" s="2" t="s">
        <v>907</v>
      </c>
      <c r="F376" s="2">
        <v>2</v>
      </c>
    </row>
    <row r="377" spans="1:6" x14ac:dyDescent="0.3">
      <c r="A377" s="13">
        <v>46033</v>
      </c>
      <c r="B377" s="5">
        <v>2026</v>
      </c>
      <c r="C377" s="5">
        <v>1</v>
      </c>
      <c r="D377" s="5" t="s">
        <v>906</v>
      </c>
      <c r="E377" s="5" t="s">
        <v>907</v>
      </c>
      <c r="F377" s="5">
        <v>2</v>
      </c>
    </row>
    <row r="378" spans="1:6" x14ac:dyDescent="0.3">
      <c r="A378" s="12">
        <v>46034</v>
      </c>
      <c r="B378" s="2">
        <v>2026</v>
      </c>
      <c r="C378" s="2">
        <v>1</v>
      </c>
      <c r="D378" s="2" t="s">
        <v>906</v>
      </c>
      <c r="E378" s="2" t="s">
        <v>907</v>
      </c>
      <c r="F378" s="2">
        <v>3</v>
      </c>
    </row>
    <row r="379" spans="1:6" x14ac:dyDescent="0.3">
      <c r="A379" s="13">
        <v>46035</v>
      </c>
      <c r="B379" s="5">
        <v>2026</v>
      </c>
      <c r="C379" s="5">
        <v>1</v>
      </c>
      <c r="D379" s="5" t="s">
        <v>906</v>
      </c>
      <c r="E379" s="5" t="s">
        <v>907</v>
      </c>
      <c r="F379" s="5">
        <v>3</v>
      </c>
    </row>
    <row r="380" spans="1:6" x14ac:dyDescent="0.3">
      <c r="A380" s="12">
        <v>46036</v>
      </c>
      <c r="B380" s="2">
        <v>2026</v>
      </c>
      <c r="C380" s="2">
        <v>1</v>
      </c>
      <c r="D380" s="2" t="s">
        <v>906</v>
      </c>
      <c r="E380" s="2" t="s">
        <v>907</v>
      </c>
      <c r="F380" s="2">
        <v>3</v>
      </c>
    </row>
    <row r="381" spans="1:6" x14ac:dyDescent="0.3">
      <c r="A381" s="13">
        <v>46037</v>
      </c>
      <c r="B381" s="5">
        <v>2026</v>
      </c>
      <c r="C381" s="5">
        <v>1</v>
      </c>
      <c r="D381" s="5" t="s">
        <v>906</v>
      </c>
      <c r="E381" s="5" t="s">
        <v>907</v>
      </c>
      <c r="F381" s="5">
        <v>3</v>
      </c>
    </row>
    <row r="382" spans="1:6" x14ac:dyDescent="0.3">
      <c r="A382" s="12">
        <v>46038</v>
      </c>
      <c r="B382" s="2">
        <v>2026</v>
      </c>
      <c r="C382" s="2">
        <v>1</v>
      </c>
      <c r="D382" s="2" t="s">
        <v>906</v>
      </c>
      <c r="E382" s="2" t="s">
        <v>907</v>
      </c>
      <c r="F382" s="2">
        <v>3</v>
      </c>
    </row>
    <row r="383" spans="1:6" x14ac:dyDescent="0.3">
      <c r="A383" s="13">
        <v>46039</v>
      </c>
      <c r="B383" s="5">
        <v>2026</v>
      </c>
      <c r="C383" s="5">
        <v>1</v>
      </c>
      <c r="D383" s="5" t="s">
        <v>906</v>
      </c>
      <c r="E383" s="5" t="s">
        <v>907</v>
      </c>
      <c r="F383" s="5">
        <v>3</v>
      </c>
    </row>
    <row r="384" spans="1:6" x14ac:dyDescent="0.3">
      <c r="A384" s="12">
        <v>46040</v>
      </c>
      <c r="B384" s="2">
        <v>2026</v>
      </c>
      <c r="C384" s="2">
        <v>1</v>
      </c>
      <c r="D384" s="2" t="s">
        <v>906</v>
      </c>
      <c r="E384" s="2" t="s">
        <v>907</v>
      </c>
      <c r="F384" s="2">
        <v>3</v>
      </c>
    </row>
    <row r="385" spans="1:6" x14ac:dyDescent="0.3">
      <c r="A385" s="13">
        <v>46041</v>
      </c>
      <c r="B385" s="5">
        <v>2026</v>
      </c>
      <c r="C385" s="5">
        <v>1</v>
      </c>
      <c r="D385" s="5" t="s">
        <v>906</v>
      </c>
      <c r="E385" s="5" t="s">
        <v>907</v>
      </c>
      <c r="F385" s="5">
        <v>4</v>
      </c>
    </row>
    <row r="386" spans="1:6" x14ac:dyDescent="0.3">
      <c r="A386" s="12">
        <v>46042</v>
      </c>
      <c r="B386" s="2">
        <v>2026</v>
      </c>
      <c r="C386" s="2">
        <v>1</v>
      </c>
      <c r="D386" s="2" t="s">
        <v>906</v>
      </c>
      <c r="E386" s="2" t="s">
        <v>907</v>
      </c>
      <c r="F386" s="2">
        <v>4</v>
      </c>
    </row>
    <row r="387" spans="1:6" x14ac:dyDescent="0.3">
      <c r="A387" s="13">
        <v>46043</v>
      </c>
      <c r="B387" s="5">
        <v>2026</v>
      </c>
      <c r="C387" s="5">
        <v>1</v>
      </c>
      <c r="D387" s="5" t="s">
        <v>906</v>
      </c>
      <c r="E387" s="5" t="s">
        <v>907</v>
      </c>
      <c r="F387" s="5">
        <v>4</v>
      </c>
    </row>
    <row r="388" spans="1:6" x14ac:dyDescent="0.3">
      <c r="A388" s="12">
        <v>46044</v>
      </c>
      <c r="B388" s="2">
        <v>2026</v>
      </c>
      <c r="C388" s="2">
        <v>1</v>
      </c>
      <c r="D388" s="2" t="s">
        <v>906</v>
      </c>
      <c r="E388" s="2" t="s">
        <v>907</v>
      </c>
      <c r="F388" s="2">
        <v>4</v>
      </c>
    </row>
    <row r="389" spans="1:6" x14ac:dyDescent="0.3">
      <c r="A389" s="13">
        <v>46045</v>
      </c>
      <c r="B389" s="5">
        <v>2026</v>
      </c>
      <c r="C389" s="5">
        <v>1</v>
      </c>
      <c r="D389" s="5" t="s">
        <v>906</v>
      </c>
      <c r="E389" s="5" t="s">
        <v>907</v>
      </c>
      <c r="F389" s="5">
        <v>4</v>
      </c>
    </row>
    <row r="390" spans="1:6" x14ac:dyDescent="0.3">
      <c r="A390" s="12">
        <v>46046</v>
      </c>
      <c r="B390" s="2">
        <v>2026</v>
      </c>
      <c r="C390" s="2">
        <v>1</v>
      </c>
      <c r="D390" s="2" t="s">
        <v>906</v>
      </c>
      <c r="E390" s="2" t="s">
        <v>907</v>
      </c>
      <c r="F390" s="2">
        <v>4</v>
      </c>
    </row>
    <row r="391" spans="1:6" x14ac:dyDescent="0.3">
      <c r="A391" s="13">
        <v>46047</v>
      </c>
      <c r="B391" s="5">
        <v>2026</v>
      </c>
      <c r="C391" s="5">
        <v>1</v>
      </c>
      <c r="D391" s="5" t="s">
        <v>906</v>
      </c>
      <c r="E391" s="5" t="s">
        <v>907</v>
      </c>
      <c r="F391" s="5">
        <v>4</v>
      </c>
    </row>
    <row r="392" spans="1:6" x14ac:dyDescent="0.3">
      <c r="A392" s="12">
        <v>46048</v>
      </c>
      <c r="B392" s="2">
        <v>2026</v>
      </c>
      <c r="C392" s="2">
        <v>1</v>
      </c>
      <c r="D392" s="2" t="s">
        <v>906</v>
      </c>
      <c r="E392" s="2" t="s">
        <v>907</v>
      </c>
      <c r="F392" s="2">
        <v>5</v>
      </c>
    </row>
    <row r="393" spans="1:6" x14ac:dyDescent="0.3">
      <c r="A393" s="13">
        <v>46049</v>
      </c>
      <c r="B393" s="5">
        <v>2026</v>
      </c>
      <c r="C393" s="5">
        <v>1</v>
      </c>
      <c r="D393" s="5" t="s">
        <v>906</v>
      </c>
      <c r="E393" s="5" t="s">
        <v>907</v>
      </c>
      <c r="F393" s="5">
        <v>5</v>
      </c>
    </row>
    <row r="394" spans="1:6" x14ac:dyDescent="0.3">
      <c r="A394" s="12">
        <v>46050</v>
      </c>
      <c r="B394" s="2">
        <v>2026</v>
      </c>
      <c r="C394" s="2">
        <v>1</v>
      </c>
      <c r="D394" s="2" t="s">
        <v>906</v>
      </c>
      <c r="E394" s="2" t="s">
        <v>907</v>
      </c>
      <c r="F394" s="2">
        <v>5</v>
      </c>
    </row>
    <row r="395" spans="1:6" x14ac:dyDescent="0.3">
      <c r="A395" s="13">
        <v>46051</v>
      </c>
      <c r="B395" s="5">
        <v>2026</v>
      </c>
      <c r="C395" s="5">
        <v>1</v>
      </c>
      <c r="D395" s="5" t="s">
        <v>906</v>
      </c>
      <c r="E395" s="5" t="s">
        <v>907</v>
      </c>
      <c r="F395" s="5">
        <v>5</v>
      </c>
    </row>
    <row r="396" spans="1:6" x14ac:dyDescent="0.3">
      <c r="A396" s="12">
        <v>46052</v>
      </c>
      <c r="B396" s="2">
        <v>2026</v>
      </c>
      <c r="C396" s="2">
        <v>1</v>
      </c>
      <c r="D396" s="2" t="s">
        <v>906</v>
      </c>
      <c r="E396" s="2" t="s">
        <v>907</v>
      </c>
      <c r="F396" s="2">
        <v>5</v>
      </c>
    </row>
    <row r="397" spans="1:6" x14ac:dyDescent="0.3">
      <c r="A397" s="13">
        <v>46053</v>
      </c>
      <c r="B397" s="5">
        <v>2026</v>
      </c>
      <c r="C397" s="5">
        <v>1</v>
      </c>
      <c r="D397" s="5" t="s">
        <v>906</v>
      </c>
      <c r="E397" s="5" t="s">
        <v>907</v>
      </c>
      <c r="F397" s="5">
        <v>5</v>
      </c>
    </row>
    <row r="398" spans="1:6" x14ac:dyDescent="0.3">
      <c r="A398" s="12">
        <v>46054</v>
      </c>
      <c r="B398" s="2">
        <v>2026</v>
      </c>
      <c r="C398" s="2">
        <v>2</v>
      </c>
      <c r="D398" s="2" t="s">
        <v>908</v>
      </c>
      <c r="E398" s="2" t="s">
        <v>907</v>
      </c>
      <c r="F398" s="2">
        <v>5</v>
      </c>
    </row>
    <row r="399" spans="1:6" x14ac:dyDescent="0.3">
      <c r="A399" s="13">
        <v>46055</v>
      </c>
      <c r="B399" s="5">
        <v>2026</v>
      </c>
      <c r="C399" s="5">
        <v>2</v>
      </c>
      <c r="D399" s="5" t="s">
        <v>908</v>
      </c>
      <c r="E399" s="5" t="s">
        <v>907</v>
      </c>
      <c r="F399" s="5">
        <v>6</v>
      </c>
    </row>
    <row r="400" spans="1:6" x14ac:dyDescent="0.3">
      <c r="A400" s="12">
        <v>46056</v>
      </c>
      <c r="B400" s="2">
        <v>2026</v>
      </c>
      <c r="C400" s="2">
        <v>2</v>
      </c>
      <c r="D400" s="2" t="s">
        <v>908</v>
      </c>
      <c r="E400" s="2" t="s">
        <v>907</v>
      </c>
      <c r="F400" s="2">
        <v>6</v>
      </c>
    </row>
    <row r="401" spans="1:6" x14ac:dyDescent="0.3">
      <c r="A401" s="13">
        <v>46057</v>
      </c>
      <c r="B401" s="5">
        <v>2026</v>
      </c>
      <c r="C401" s="5">
        <v>2</v>
      </c>
      <c r="D401" s="5" t="s">
        <v>908</v>
      </c>
      <c r="E401" s="5" t="s">
        <v>907</v>
      </c>
      <c r="F401" s="5">
        <v>6</v>
      </c>
    </row>
    <row r="402" spans="1:6" x14ac:dyDescent="0.3">
      <c r="A402" s="12">
        <v>46058</v>
      </c>
      <c r="B402" s="2">
        <v>2026</v>
      </c>
      <c r="C402" s="2">
        <v>2</v>
      </c>
      <c r="D402" s="2" t="s">
        <v>908</v>
      </c>
      <c r="E402" s="2" t="s">
        <v>907</v>
      </c>
      <c r="F402" s="2">
        <v>6</v>
      </c>
    </row>
    <row r="403" spans="1:6" x14ac:dyDescent="0.3">
      <c r="A403" s="13">
        <v>46059</v>
      </c>
      <c r="B403" s="5">
        <v>2026</v>
      </c>
      <c r="C403" s="5">
        <v>2</v>
      </c>
      <c r="D403" s="5" t="s">
        <v>908</v>
      </c>
      <c r="E403" s="5" t="s">
        <v>907</v>
      </c>
      <c r="F403" s="5">
        <v>6</v>
      </c>
    </row>
    <row r="404" spans="1:6" x14ac:dyDescent="0.3">
      <c r="A404" s="12">
        <v>46060</v>
      </c>
      <c r="B404" s="2">
        <v>2026</v>
      </c>
      <c r="C404" s="2">
        <v>2</v>
      </c>
      <c r="D404" s="2" t="s">
        <v>908</v>
      </c>
      <c r="E404" s="2" t="s">
        <v>907</v>
      </c>
      <c r="F404" s="2">
        <v>6</v>
      </c>
    </row>
    <row r="405" spans="1:6" x14ac:dyDescent="0.3">
      <c r="A405" s="13">
        <v>46061</v>
      </c>
      <c r="B405" s="5">
        <v>2026</v>
      </c>
      <c r="C405" s="5">
        <v>2</v>
      </c>
      <c r="D405" s="5" t="s">
        <v>908</v>
      </c>
      <c r="E405" s="5" t="s">
        <v>907</v>
      </c>
      <c r="F405" s="5">
        <v>6</v>
      </c>
    </row>
    <row r="406" spans="1:6" x14ac:dyDescent="0.3">
      <c r="A406" s="12">
        <v>46062</v>
      </c>
      <c r="B406" s="2">
        <v>2026</v>
      </c>
      <c r="C406" s="2">
        <v>2</v>
      </c>
      <c r="D406" s="2" t="s">
        <v>908</v>
      </c>
      <c r="E406" s="2" t="s">
        <v>907</v>
      </c>
      <c r="F406" s="2">
        <v>7</v>
      </c>
    </row>
    <row r="407" spans="1:6" x14ac:dyDescent="0.3">
      <c r="A407" s="13">
        <v>46063</v>
      </c>
      <c r="B407" s="5">
        <v>2026</v>
      </c>
      <c r="C407" s="5">
        <v>2</v>
      </c>
      <c r="D407" s="5" t="s">
        <v>908</v>
      </c>
      <c r="E407" s="5" t="s">
        <v>907</v>
      </c>
      <c r="F407" s="5">
        <v>7</v>
      </c>
    </row>
    <row r="408" spans="1:6" x14ac:dyDescent="0.3">
      <c r="A408" s="12">
        <v>46064</v>
      </c>
      <c r="B408" s="2">
        <v>2026</v>
      </c>
      <c r="C408" s="2">
        <v>2</v>
      </c>
      <c r="D408" s="2" t="s">
        <v>908</v>
      </c>
      <c r="E408" s="2" t="s">
        <v>907</v>
      </c>
      <c r="F408" s="2">
        <v>7</v>
      </c>
    </row>
    <row r="409" spans="1:6" x14ac:dyDescent="0.3">
      <c r="A409" s="13">
        <v>46065</v>
      </c>
      <c r="B409" s="5">
        <v>2026</v>
      </c>
      <c r="C409" s="5">
        <v>2</v>
      </c>
      <c r="D409" s="5" t="s">
        <v>908</v>
      </c>
      <c r="E409" s="5" t="s">
        <v>907</v>
      </c>
      <c r="F409" s="5">
        <v>7</v>
      </c>
    </row>
    <row r="410" spans="1:6" x14ac:dyDescent="0.3">
      <c r="A410" s="12">
        <v>46066</v>
      </c>
      <c r="B410" s="2">
        <v>2026</v>
      </c>
      <c r="C410" s="2">
        <v>2</v>
      </c>
      <c r="D410" s="2" t="s">
        <v>908</v>
      </c>
      <c r="E410" s="2" t="s">
        <v>907</v>
      </c>
      <c r="F410" s="2">
        <v>7</v>
      </c>
    </row>
    <row r="411" spans="1:6" x14ac:dyDescent="0.3">
      <c r="A411" s="13">
        <v>46067</v>
      </c>
      <c r="B411" s="5">
        <v>2026</v>
      </c>
      <c r="C411" s="5">
        <v>2</v>
      </c>
      <c r="D411" s="5" t="s">
        <v>908</v>
      </c>
      <c r="E411" s="5" t="s">
        <v>907</v>
      </c>
      <c r="F411" s="5">
        <v>7</v>
      </c>
    </row>
    <row r="412" spans="1:6" x14ac:dyDescent="0.3">
      <c r="A412" s="12">
        <v>46068</v>
      </c>
      <c r="B412" s="2">
        <v>2026</v>
      </c>
      <c r="C412" s="2">
        <v>2</v>
      </c>
      <c r="D412" s="2" t="s">
        <v>908</v>
      </c>
      <c r="E412" s="2" t="s">
        <v>907</v>
      </c>
      <c r="F412" s="2">
        <v>7</v>
      </c>
    </row>
    <row r="413" spans="1:6" x14ac:dyDescent="0.3">
      <c r="A413" s="13">
        <v>46069</v>
      </c>
      <c r="B413" s="5">
        <v>2026</v>
      </c>
      <c r="C413" s="5">
        <v>2</v>
      </c>
      <c r="D413" s="5" t="s">
        <v>908</v>
      </c>
      <c r="E413" s="5" t="s">
        <v>907</v>
      </c>
      <c r="F413" s="5">
        <v>8</v>
      </c>
    </row>
    <row r="414" spans="1:6" x14ac:dyDescent="0.3">
      <c r="A414" s="12">
        <v>46070</v>
      </c>
      <c r="B414" s="2">
        <v>2026</v>
      </c>
      <c r="C414" s="2">
        <v>2</v>
      </c>
      <c r="D414" s="2" t="s">
        <v>908</v>
      </c>
      <c r="E414" s="2" t="s">
        <v>907</v>
      </c>
      <c r="F414" s="2">
        <v>8</v>
      </c>
    </row>
    <row r="415" spans="1:6" x14ac:dyDescent="0.3">
      <c r="A415" s="13">
        <v>46071</v>
      </c>
      <c r="B415" s="5">
        <v>2026</v>
      </c>
      <c r="C415" s="5">
        <v>2</v>
      </c>
      <c r="D415" s="5" t="s">
        <v>908</v>
      </c>
      <c r="E415" s="5" t="s">
        <v>907</v>
      </c>
      <c r="F415" s="5">
        <v>8</v>
      </c>
    </row>
    <row r="416" spans="1:6" x14ac:dyDescent="0.3">
      <c r="A416" s="12">
        <v>46072</v>
      </c>
      <c r="B416" s="2">
        <v>2026</v>
      </c>
      <c r="C416" s="2">
        <v>2</v>
      </c>
      <c r="D416" s="2" t="s">
        <v>908</v>
      </c>
      <c r="E416" s="2" t="s">
        <v>907</v>
      </c>
      <c r="F416" s="2">
        <v>8</v>
      </c>
    </row>
    <row r="417" spans="1:6" x14ac:dyDescent="0.3">
      <c r="A417" s="13">
        <v>46073</v>
      </c>
      <c r="B417" s="5">
        <v>2026</v>
      </c>
      <c r="C417" s="5">
        <v>2</v>
      </c>
      <c r="D417" s="5" t="s">
        <v>908</v>
      </c>
      <c r="E417" s="5" t="s">
        <v>907</v>
      </c>
      <c r="F417" s="5">
        <v>8</v>
      </c>
    </row>
    <row r="418" spans="1:6" x14ac:dyDescent="0.3">
      <c r="A418" s="12">
        <v>46074</v>
      </c>
      <c r="B418" s="2">
        <v>2026</v>
      </c>
      <c r="C418" s="2">
        <v>2</v>
      </c>
      <c r="D418" s="2" t="s">
        <v>908</v>
      </c>
      <c r="E418" s="2" t="s">
        <v>907</v>
      </c>
      <c r="F418" s="2">
        <v>8</v>
      </c>
    </row>
    <row r="419" spans="1:6" x14ac:dyDescent="0.3">
      <c r="A419" s="13">
        <v>46075</v>
      </c>
      <c r="B419" s="5">
        <v>2026</v>
      </c>
      <c r="C419" s="5">
        <v>2</v>
      </c>
      <c r="D419" s="5" t="s">
        <v>908</v>
      </c>
      <c r="E419" s="5" t="s">
        <v>907</v>
      </c>
      <c r="F419" s="5">
        <v>8</v>
      </c>
    </row>
    <row r="420" spans="1:6" x14ac:dyDescent="0.3">
      <c r="A420" s="12">
        <v>46076</v>
      </c>
      <c r="B420" s="2">
        <v>2026</v>
      </c>
      <c r="C420" s="2">
        <v>2</v>
      </c>
      <c r="D420" s="2" t="s">
        <v>908</v>
      </c>
      <c r="E420" s="2" t="s">
        <v>907</v>
      </c>
      <c r="F420" s="2">
        <v>9</v>
      </c>
    </row>
    <row r="421" spans="1:6" x14ac:dyDescent="0.3">
      <c r="A421" s="13">
        <v>46077</v>
      </c>
      <c r="B421" s="5">
        <v>2026</v>
      </c>
      <c r="C421" s="5">
        <v>2</v>
      </c>
      <c r="D421" s="5" t="s">
        <v>908</v>
      </c>
      <c r="E421" s="5" t="s">
        <v>907</v>
      </c>
      <c r="F421" s="5">
        <v>9</v>
      </c>
    </row>
    <row r="422" spans="1:6" x14ac:dyDescent="0.3">
      <c r="A422" s="12">
        <v>46078</v>
      </c>
      <c r="B422" s="2">
        <v>2026</v>
      </c>
      <c r="C422" s="2">
        <v>2</v>
      </c>
      <c r="D422" s="2" t="s">
        <v>908</v>
      </c>
      <c r="E422" s="2" t="s">
        <v>907</v>
      </c>
      <c r="F422" s="2">
        <v>9</v>
      </c>
    </row>
    <row r="423" spans="1:6" x14ac:dyDescent="0.3">
      <c r="A423" s="13">
        <v>46079</v>
      </c>
      <c r="B423" s="5">
        <v>2026</v>
      </c>
      <c r="C423" s="5">
        <v>2</v>
      </c>
      <c r="D423" s="5" t="s">
        <v>908</v>
      </c>
      <c r="E423" s="5" t="s">
        <v>907</v>
      </c>
      <c r="F423" s="5">
        <v>9</v>
      </c>
    </row>
    <row r="424" spans="1:6" x14ac:dyDescent="0.3">
      <c r="A424" s="12">
        <v>46080</v>
      </c>
      <c r="B424" s="2">
        <v>2026</v>
      </c>
      <c r="C424" s="2">
        <v>2</v>
      </c>
      <c r="D424" s="2" t="s">
        <v>908</v>
      </c>
      <c r="E424" s="2" t="s">
        <v>907</v>
      </c>
      <c r="F424" s="2">
        <v>9</v>
      </c>
    </row>
    <row r="425" spans="1:6" x14ac:dyDescent="0.3">
      <c r="A425" s="13">
        <v>46081</v>
      </c>
      <c r="B425" s="5">
        <v>2026</v>
      </c>
      <c r="C425" s="5">
        <v>2</v>
      </c>
      <c r="D425" s="5" t="s">
        <v>908</v>
      </c>
      <c r="E425" s="5" t="s">
        <v>907</v>
      </c>
      <c r="F425" s="5">
        <v>9</v>
      </c>
    </row>
    <row r="426" spans="1:6" x14ac:dyDescent="0.3">
      <c r="A426" s="12">
        <v>46082</v>
      </c>
      <c r="B426" s="2">
        <v>2026</v>
      </c>
      <c r="C426" s="2">
        <v>3</v>
      </c>
      <c r="D426" s="2" t="s">
        <v>909</v>
      </c>
      <c r="E426" s="2" t="s">
        <v>907</v>
      </c>
      <c r="F426" s="2">
        <v>9</v>
      </c>
    </row>
    <row r="427" spans="1:6" x14ac:dyDescent="0.3">
      <c r="A427" s="13">
        <v>46083</v>
      </c>
      <c r="B427" s="5">
        <v>2026</v>
      </c>
      <c r="C427" s="5">
        <v>3</v>
      </c>
      <c r="D427" s="5" t="s">
        <v>909</v>
      </c>
      <c r="E427" s="5" t="s">
        <v>907</v>
      </c>
      <c r="F427" s="5">
        <v>10</v>
      </c>
    </row>
    <row r="428" spans="1:6" x14ac:dyDescent="0.3">
      <c r="A428" s="12">
        <v>46084</v>
      </c>
      <c r="B428" s="2">
        <v>2026</v>
      </c>
      <c r="C428" s="2">
        <v>3</v>
      </c>
      <c r="D428" s="2" t="s">
        <v>909</v>
      </c>
      <c r="E428" s="2" t="s">
        <v>907</v>
      </c>
      <c r="F428" s="2">
        <v>10</v>
      </c>
    </row>
    <row r="429" spans="1:6" x14ac:dyDescent="0.3">
      <c r="A429" s="13">
        <v>46085</v>
      </c>
      <c r="B429" s="5">
        <v>2026</v>
      </c>
      <c r="C429" s="5">
        <v>3</v>
      </c>
      <c r="D429" s="5" t="s">
        <v>909</v>
      </c>
      <c r="E429" s="5" t="s">
        <v>907</v>
      </c>
      <c r="F429" s="5">
        <v>10</v>
      </c>
    </row>
    <row r="430" spans="1:6" x14ac:dyDescent="0.3">
      <c r="A430" s="12">
        <v>46086</v>
      </c>
      <c r="B430" s="2">
        <v>2026</v>
      </c>
      <c r="C430" s="2">
        <v>3</v>
      </c>
      <c r="D430" s="2" t="s">
        <v>909</v>
      </c>
      <c r="E430" s="2" t="s">
        <v>907</v>
      </c>
      <c r="F430" s="2">
        <v>10</v>
      </c>
    </row>
    <row r="431" spans="1:6" x14ac:dyDescent="0.3">
      <c r="A431" s="13">
        <v>46087</v>
      </c>
      <c r="B431" s="5">
        <v>2026</v>
      </c>
      <c r="C431" s="5">
        <v>3</v>
      </c>
      <c r="D431" s="5" t="s">
        <v>909</v>
      </c>
      <c r="E431" s="5" t="s">
        <v>907</v>
      </c>
      <c r="F431" s="5">
        <v>10</v>
      </c>
    </row>
    <row r="432" spans="1:6" x14ac:dyDescent="0.3">
      <c r="A432" s="12">
        <v>46088</v>
      </c>
      <c r="B432" s="2">
        <v>2026</v>
      </c>
      <c r="C432" s="2">
        <v>3</v>
      </c>
      <c r="D432" s="2" t="s">
        <v>909</v>
      </c>
      <c r="E432" s="2" t="s">
        <v>907</v>
      </c>
      <c r="F432" s="2">
        <v>10</v>
      </c>
    </row>
    <row r="433" spans="1:6" x14ac:dyDescent="0.3">
      <c r="A433" s="13">
        <v>46089</v>
      </c>
      <c r="B433" s="5">
        <v>2026</v>
      </c>
      <c r="C433" s="5">
        <v>3</v>
      </c>
      <c r="D433" s="5" t="s">
        <v>909</v>
      </c>
      <c r="E433" s="5" t="s">
        <v>907</v>
      </c>
      <c r="F433" s="5">
        <v>10</v>
      </c>
    </row>
    <row r="434" spans="1:6" x14ac:dyDescent="0.3">
      <c r="A434" s="12">
        <v>46090</v>
      </c>
      <c r="B434" s="2">
        <v>2026</v>
      </c>
      <c r="C434" s="2">
        <v>3</v>
      </c>
      <c r="D434" s="2" t="s">
        <v>909</v>
      </c>
      <c r="E434" s="2" t="s">
        <v>907</v>
      </c>
      <c r="F434" s="2">
        <v>11</v>
      </c>
    </row>
    <row r="435" spans="1:6" x14ac:dyDescent="0.3">
      <c r="A435" s="13">
        <v>46091</v>
      </c>
      <c r="B435" s="5">
        <v>2026</v>
      </c>
      <c r="C435" s="5">
        <v>3</v>
      </c>
      <c r="D435" s="5" t="s">
        <v>909</v>
      </c>
      <c r="E435" s="5" t="s">
        <v>907</v>
      </c>
      <c r="F435" s="5">
        <v>11</v>
      </c>
    </row>
    <row r="436" spans="1:6" x14ac:dyDescent="0.3">
      <c r="A436" s="12">
        <v>46092</v>
      </c>
      <c r="B436" s="2">
        <v>2026</v>
      </c>
      <c r="C436" s="2">
        <v>3</v>
      </c>
      <c r="D436" s="2" t="s">
        <v>909</v>
      </c>
      <c r="E436" s="2" t="s">
        <v>907</v>
      </c>
      <c r="F436" s="2">
        <v>11</v>
      </c>
    </row>
    <row r="437" spans="1:6" x14ac:dyDescent="0.3">
      <c r="A437" s="13">
        <v>46093</v>
      </c>
      <c r="B437" s="5">
        <v>2026</v>
      </c>
      <c r="C437" s="5">
        <v>3</v>
      </c>
      <c r="D437" s="5" t="s">
        <v>909</v>
      </c>
      <c r="E437" s="5" t="s">
        <v>907</v>
      </c>
      <c r="F437" s="5">
        <v>11</v>
      </c>
    </row>
    <row r="438" spans="1:6" x14ac:dyDescent="0.3">
      <c r="A438" s="12">
        <v>46094</v>
      </c>
      <c r="B438" s="2">
        <v>2026</v>
      </c>
      <c r="C438" s="2">
        <v>3</v>
      </c>
      <c r="D438" s="2" t="s">
        <v>909</v>
      </c>
      <c r="E438" s="2" t="s">
        <v>907</v>
      </c>
      <c r="F438" s="2">
        <v>11</v>
      </c>
    </row>
    <row r="439" spans="1:6" x14ac:dyDescent="0.3">
      <c r="A439" s="13">
        <v>46095</v>
      </c>
      <c r="B439" s="5">
        <v>2026</v>
      </c>
      <c r="C439" s="5">
        <v>3</v>
      </c>
      <c r="D439" s="5" t="s">
        <v>909</v>
      </c>
      <c r="E439" s="5" t="s">
        <v>907</v>
      </c>
      <c r="F439" s="5">
        <v>11</v>
      </c>
    </row>
    <row r="440" spans="1:6" x14ac:dyDescent="0.3">
      <c r="A440" s="12">
        <v>46096</v>
      </c>
      <c r="B440" s="2">
        <v>2026</v>
      </c>
      <c r="C440" s="2">
        <v>3</v>
      </c>
      <c r="D440" s="2" t="s">
        <v>909</v>
      </c>
      <c r="E440" s="2" t="s">
        <v>907</v>
      </c>
      <c r="F440" s="2">
        <v>11</v>
      </c>
    </row>
    <row r="441" spans="1:6" x14ac:dyDescent="0.3">
      <c r="A441" s="13">
        <v>46097</v>
      </c>
      <c r="B441" s="5">
        <v>2026</v>
      </c>
      <c r="C441" s="5">
        <v>3</v>
      </c>
      <c r="D441" s="5" t="s">
        <v>909</v>
      </c>
      <c r="E441" s="5" t="s">
        <v>907</v>
      </c>
      <c r="F441" s="5">
        <v>12</v>
      </c>
    </row>
    <row r="442" spans="1:6" x14ac:dyDescent="0.3">
      <c r="A442" s="12">
        <v>46098</v>
      </c>
      <c r="B442" s="2">
        <v>2026</v>
      </c>
      <c r="C442" s="2">
        <v>3</v>
      </c>
      <c r="D442" s="2" t="s">
        <v>909</v>
      </c>
      <c r="E442" s="2" t="s">
        <v>907</v>
      </c>
      <c r="F442" s="2">
        <v>12</v>
      </c>
    </row>
    <row r="443" spans="1:6" x14ac:dyDescent="0.3">
      <c r="A443" s="13">
        <v>46099</v>
      </c>
      <c r="B443" s="5">
        <v>2026</v>
      </c>
      <c r="C443" s="5">
        <v>3</v>
      </c>
      <c r="D443" s="5" t="s">
        <v>909</v>
      </c>
      <c r="E443" s="5" t="s">
        <v>907</v>
      </c>
      <c r="F443" s="5">
        <v>12</v>
      </c>
    </row>
    <row r="444" spans="1:6" x14ac:dyDescent="0.3">
      <c r="A444" s="12">
        <v>46100</v>
      </c>
      <c r="B444" s="2">
        <v>2026</v>
      </c>
      <c r="C444" s="2">
        <v>3</v>
      </c>
      <c r="D444" s="2" t="s">
        <v>909</v>
      </c>
      <c r="E444" s="2" t="s">
        <v>907</v>
      </c>
      <c r="F444" s="2">
        <v>12</v>
      </c>
    </row>
    <row r="445" spans="1:6" x14ac:dyDescent="0.3">
      <c r="A445" s="13">
        <v>46101</v>
      </c>
      <c r="B445" s="5">
        <v>2026</v>
      </c>
      <c r="C445" s="5">
        <v>3</v>
      </c>
      <c r="D445" s="5" t="s">
        <v>909</v>
      </c>
      <c r="E445" s="5" t="s">
        <v>907</v>
      </c>
      <c r="F445" s="5">
        <v>12</v>
      </c>
    </row>
    <row r="446" spans="1:6" x14ac:dyDescent="0.3">
      <c r="A446" s="12">
        <v>46102</v>
      </c>
      <c r="B446" s="2">
        <v>2026</v>
      </c>
      <c r="C446" s="2">
        <v>3</v>
      </c>
      <c r="D446" s="2" t="s">
        <v>909</v>
      </c>
      <c r="E446" s="2" t="s">
        <v>907</v>
      </c>
      <c r="F446" s="2">
        <v>12</v>
      </c>
    </row>
    <row r="447" spans="1:6" x14ac:dyDescent="0.3">
      <c r="A447" s="13">
        <v>46103</v>
      </c>
      <c r="B447" s="5">
        <v>2026</v>
      </c>
      <c r="C447" s="5">
        <v>3</v>
      </c>
      <c r="D447" s="5" t="s">
        <v>909</v>
      </c>
      <c r="E447" s="5" t="s">
        <v>907</v>
      </c>
      <c r="F447" s="5">
        <v>12</v>
      </c>
    </row>
    <row r="448" spans="1:6" x14ac:dyDescent="0.3">
      <c r="A448" s="12">
        <v>46104</v>
      </c>
      <c r="B448" s="2">
        <v>2026</v>
      </c>
      <c r="C448" s="2">
        <v>3</v>
      </c>
      <c r="D448" s="2" t="s">
        <v>909</v>
      </c>
      <c r="E448" s="2" t="s">
        <v>907</v>
      </c>
      <c r="F448" s="2">
        <v>13</v>
      </c>
    </row>
    <row r="449" spans="1:6" x14ac:dyDescent="0.3">
      <c r="A449" s="13">
        <v>46105</v>
      </c>
      <c r="B449" s="5">
        <v>2026</v>
      </c>
      <c r="C449" s="5">
        <v>3</v>
      </c>
      <c r="D449" s="5" t="s">
        <v>909</v>
      </c>
      <c r="E449" s="5" t="s">
        <v>907</v>
      </c>
      <c r="F449" s="5">
        <v>13</v>
      </c>
    </row>
    <row r="450" spans="1:6" x14ac:dyDescent="0.3">
      <c r="A450" s="12">
        <v>46106</v>
      </c>
      <c r="B450" s="2">
        <v>2026</v>
      </c>
      <c r="C450" s="2">
        <v>3</v>
      </c>
      <c r="D450" s="2" t="s">
        <v>909</v>
      </c>
      <c r="E450" s="2" t="s">
        <v>907</v>
      </c>
      <c r="F450" s="2">
        <v>13</v>
      </c>
    </row>
    <row r="451" spans="1:6" x14ac:dyDescent="0.3">
      <c r="A451" s="13">
        <v>46107</v>
      </c>
      <c r="B451" s="5">
        <v>2026</v>
      </c>
      <c r="C451" s="5">
        <v>3</v>
      </c>
      <c r="D451" s="5" t="s">
        <v>909</v>
      </c>
      <c r="E451" s="5" t="s">
        <v>907</v>
      </c>
      <c r="F451" s="5">
        <v>13</v>
      </c>
    </row>
    <row r="452" spans="1:6" x14ac:dyDescent="0.3">
      <c r="A452" s="12">
        <v>46108</v>
      </c>
      <c r="B452" s="2">
        <v>2026</v>
      </c>
      <c r="C452" s="2">
        <v>3</v>
      </c>
      <c r="D452" s="2" t="s">
        <v>909</v>
      </c>
      <c r="E452" s="2" t="s">
        <v>907</v>
      </c>
      <c r="F452" s="2">
        <v>13</v>
      </c>
    </row>
    <row r="453" spans="1:6" x14ac:dyDescent="0.3">
      <c r="A453" s="13">
        <v>46109</v>
      </c>
      <c r="B453" s="5">
        <v>2026</v>
      </c>
      <c r="C453" s="5">
        <v>3</v>
      </c>
      <c r="D453" s="5" t="s">
        <v>909</v>
      </c>
      <c r="E453" s="5" t="s">
        <v>907</v>
      </c>
      <c r="F453" s="5">
        <v>13</v>
      </c>
    </row>
    <row r="454" spans="1:6" x14ac:dyDescent="0.3">
      <c r="A454" s="12">
        <v>46110</v>
      </c>
      <c r="B454" s="2">
        <v>2026</v>
      </c>
      <c r="C454" s="2">
        <v>3</v>
      </c>
      <c r="D454" s="2" t="s">
        <v>909</v>
      </c>
      <c r="E454" s="2" t="s">
        <v>907</v>
      </c>
      <c r="F454" s="2">
        <v>13</v>
      </c>
    </row>
    <row r="455" spans="1:6" x14ac:dyDescent="0.3">
      <c r="A455" s="13">
        <v>46111</v>
      </c>
      <c r="B455" s="5">
        <v>2026</v>
      </c>
      <c r="C455" s="5">
        <v>3</v>
      </c>
      <c r="D455" s="5" t="s">
        <v>909</v>
      </c>
      <c r="E455" s="5" t="s">
        <v>907</v>
      </c>
      <c r="F455" s="5">
        <v>14</v>
      </c>
    </row>
    <row r="456" spans="1:6" x14ac:dyDescent="0.3">
      <c r="A456" s="12">
        <v>46112</v>
      </c>
      <c r="B456" s="2">
        <v>2026</v>
      </c>
      <c r="C456" s="2">
        <v>3</v>
      </c>
      <c r="D456" s="2" t="s">
        <v>909</v>
      </c>
      <c r="E456" s="2" t="s">
        <v>907</v>
      </c>
      <c r="F456" s="2">
        <v>14</v>
      </c>
    </row>
    <row r="457" spans="1:6" x14ac:dyDescent="0.3">
      <c r="A457" s="13">
        <v>46113</v>
      </c>
      <c r="B457" s="5">
        <v>2026</v>
      </c>
      <c r="C457" s="5">
        <v>4</v>
      </c>
      <c r="D457" s="5" t="s">
        <v>910</v>
      </c>
      <c r="E457" s="5" t="s">
        <v>911</v>
      </c>
      <c r="F457" s="5">
        <v>14</v>
      </c>
    </row>
    <row r="458" spans="1:6" x14ac:dyDescent="0.3">
      <c r="A458" s="12">
        <v>46114</v>
      </c>
      <c r="B458" s="2">
        <v>2026</v>
      </c>
      <c r="C458" s="2">
        <v>4</v>
      </c>
      <c r="D458" s="2" t="s">
        <v>910</v>
      </c>
      <c r="E458" s="2" t="s">
        <v>911</v>
      </c>
      <c r="F458" s="2">
        <v>14</v>
      </c>
    </row>
    <row r="459" spans="1:6" x14ac:dyDescent="0.3">
      <c r="A459" s="13">
        <v>46115</v>
      </c>
      <c r="B459" s="5">
        <v>2026</v>
      </c>
      <c r="C459" s="5">
        <v>4</v>
      </c>
      <c r="D459" s="5" t="s">
        <v>910</v>
      </c>
      <c r="E459" s="5" t="s">
        <v>911</v>
      </c>
      <c r="F459" s="5">
        <v>14</v>
      </c>
    </row>
    <row r="460" spans="1:6" x14ac:dyDescent="0.3">
      <c r="A460" s="12">
        <v>46116</v>
      </c>
      <c r="B460" s="2">
        <v>2026</v>
      </c>
      <c r="C460" s="2">
        <v>4</v>
      </c>
      <c r="D460" s="2" t="s">
        <v>910</v>
      </c>
      <c r="E460" s="2" t="s">
        <v>911</v>
      </c>
      <c r="F460" s="2">
        <v>14</v>
      </c>
    </row>
    <row r="461" spans="1:6" x14ac:dyDescent="0.3">
      <c r="A461" s="13">
        <v>46117</v>
      </c>
      <c r="B461" s="5">
        <v>2026</v>
      </c>
      <c r="C461" s="5">
        <v>4</v>
      </c>
      <c r="D461" s="5" t="s">
        <v>910</v>
      </c>
      <c r="E461" s="5" t="s">
        <v>911</v>
      </c>
      <c r="F461" s="5">
        <v>14</v>
      </c>
    </row>
    <row r="462" spans="1:6" x14ac:dyDescent="0.3">
      <c r="A462" s="12">
        <v>46118</v>
      </c>
      <c r="B462" s="2">
        <v>2026</v>
      </c>
      <c r="C462" s="2">
        <v>4</v>
      </c>
      <c r="D462" s="2" t="s">
        <v>910</v>
      </c>
      <c r="E462" s="2" t="s">
        <v>911</v>
      </c>
      <c r="F462" s="2">
        <v>15</v>
      </c>
    </row>
    <row r="463" spans="1:6" x14ac:dyDescent="0.3">
      <c r="A463" s="13">
        <v>46119</v>
      </c>
      <c r="B463" s="5">
        <v>2026</v>
      </c>
      <c r="C463" s="5">
        <v>4</v>
      </c>
      <c r="D463" s="5" t="s">
        <v>910</v>
      </c>
      <c r="E463" s="5" t="s">
        <v>911</v>
      </c>
      <c r="F463" s="5">
        <v>15</v>
      </c>
    </row>
    <row r="464" spans="1:6" x14ac:dyDescent="0.3">
      <c r="A464" s="12">
        <v>46120</v>
      </c>
      <c r="B464" s="2">
        <v>2026</v>
      </c>
      <c r="C464" s="2">
        <v>4</v>
      </c>
      <c r="D464" s="2" t="s">
        <v>910</v>
      </c>
      <c r="E464" s="2" t="s">
        <v>911</v>
      </c>
      <c r="F464" s="2">
        <v>15</v>
      </c>
    </row>
    <row r="465" spans="1:6" x14ac:dyDescent="0.3">
      <c r="A465" s="13">
        <v>46121</v>
      </c>
      <c r="B465" s="5">
        <v>2026</v>
      </c>
      <c r="C465" s="5">
        <v>4</v>
      </c>
      <c r="D465" s="5" t="s">
        <v>910</v>
      </c>
      <c r="E465" s="5" t="s">
        <v>911</v>
      </c>
      <c r="F465" s="5">
        <v>15</v>
      </c>
    </row>
    <row r="466" spans="1:6" x14ac:dyDescent="0.3">
      <c r="A466" s="12">
        <v>46122</v>
      </c>
      <c r="B466" s="2">
        <v>2026</v>
      </c>
      <c r="C466" s="2">
        <v>4</v>
      </c>
      <c r="D466" s="2" t="s">
        <v>910</v>
      </c>
      <c r="E466" s="2" t="s">
        <v>911</v>
      </c>
      <c r="F466" s="2">
        <v>15</v>
      </c>
    </row>
    <row r="467" spans="1:6" x14ac:dyDescent="0.3">
      <c r="A467" s="13">
        <v>46123</v>
      </c>
      <c r="B467" s="5">
        <v>2026</v>
      </c>
      <c r="C467" s="5">
        <v>4</v>
      </c>
      <c r="D467" s="5" t="s">
        <v>910</v>
      </c>
      <c r="E467" s="5" t="s">
        <v>911</v>
      </c>
      <c r="F467" s="5">
        <v>15</v>
      </c>
    </row>
    <row r="468" spans="1:6" x14ac:dyDescent="0.3">
      <c r="A468" s="12">
        <v>46124</v>
      </c>
      <c r="B468" s="2">
        <v>2026</v>
      </c>
      <c r="C468" s="2">
        <v>4</v>
      </c>
      <c r="D468" s="2" t="s">
        <v>910</v>
      </c>
      <c r="E468" s="2" t="s">
        <v>911</v>
      </c>
      <c r="F468" s="2">
        <v>15</v>
      </c>
    </row>
    <row r="469" spans="1:6" x14ac:dyDescent="0.3">
      <c r="A469" s="13">
        <v>46125</v>
      </c>
      <c r="B469" s="5">
        <v>2026</v>
      </c>
      <c r="C469" s="5">
        <v>4</v>
      </c>
      <c r="D469" s="5" t="s">
        <v>910</v>
      </c>
      <c r="E469" s="5" t="s">
        <v>911</v>
      </c>
      <c r="F469" s="5">
        <v>16</v>
      </c>
    </row>
    <row r="470" spans="1:6" x14ac:dyDescent="0.3">
      <c r="A470" s="12">
        <v>46126</v>
      </c>
      <c r="B470" s="2">
        <v>2026</v>
      </c>
      <c r="C470" s="2">
        <v>4</v>
      </c>
      <c r="D470" s="2" t="s">
        <v>910</v>
      </c>
      <c r="E470" s="2" t="s">
        <v>911</v>
      </c>
      <c r="F470" s="2">
        <v>16</v>
      </c>
    </row>
    <row r="471" spans="1:6" x14ac:dyDescent="0.3">
      <c r="A471" s="13">
        <v>46127</v>
      </c>
      <c r="B471" s="5">
        <v>2026</v>
      </c>
      <c r="C471" s="5">
        <v>4</v>
      </c>
      <c r="D471" s="5" t="s">
        <v>910</v>
      </c>
      <c r="E471" s="5" t="s">
        <v>911</v>
      </c>
      <c r="F471" s="5">
        <v>16</v>
      </c>
    </row>
    <row r="472" spans="1:6" x14ac:dyDescent="0.3">
      <c r="A472" s="12">
        <v>46128</v>
      </c>
      <c r="B472" s="2">
        <v>2026</v>
      </c>
      <c r="C472" s="2">
        <v>4</v>
      </c>
      <c r="D472" s="2" t="s">
        <v>910</v>
      </c>
      <c r="E472" s="2" t="s">
        <v>911</v>
      </c>
      <c r="F472" s="2">
        <v>16</v>
      </c>
    </row>
    <row r="473" spans="1:6" x14ac:dyDescent="0.3">
      <c r="A473" s="13">
        <v>46129</v>
      </c>
      <c r="B473" s="5">
        <v>2026</v>
      </c>
      <c r="C473" s="5">
        <v>4</v>
      </c>
      <c r="D473" s="5" t="s">
        <v>910</v>
      </c>
      <c r="E473" s="5" t="s">
        <v>911</v>
      </c>
      <c r="F473" s="5">
        <v>16</v>
      </c>
    </row>
    <row r="474" spans="1:6" x14ac:dyDescent="0.3">
      <c r="A474" s="12">
        <v>46130</v>
      </c>
      <c r="B474" s="2">
        <v>2026</v>
      </c>
      <c r="C474" s="2">
        <v>4</v>
      </c>
      <c r="D474" s="2" t="s">
        <v>910</v>
      </c>
      <c r="E474" s="2" t="s">
        <v>911</v>
      </c>
      <c r="F474" s="2">
        <v>16</v>
      </c>
    </row>
    <row r="475" spans="1:6" x14ac:dyDescent="0.3">
      <c r="A475" s="13">
        <v>46131</v>
      </c>
      <c r="B475" s="5">
        <v>2026</v>
      </c>
      <c r="C475" s="5">
        <v>4</v>
      </c>
      <c r="D475" s="5" t="s">
        <v>910</v>
      </c>
      <c r="E475" s="5" t="s">
        <v>911</v>
      </c>
      <c r="F475" s="5">
        <v>16</v>
      </c>
    </row>
    <row r="476" spans="1:6" x14ac:dyDescent="0.3">
      <c r="A476" s="12">
        <v>46132</v>
      </c>
      <c r="B476" s="2">
        <v>2026</v>
      </c>
      <c r="C476" s="2">
        <v>4</v>
      </c>
      <c r="D476" s="2" t="s">
        <v>910</v>
      </c>
      <c r="E476" s="2" t="s">
        <v>911</v>
      </c>
      <c r="F476" s="2">
        <v>17</v>
      </c>
    </row>
    <row r="477" spans="1:6" x14ac:dyDescent="0.3">
      <c r="A477" s="13">
        <v>46133</v>
      </c>
      <c r="B477" s="5">
        <v>2026</v>
      </c>
      <c r="C477" s="5">
        <v>4</v>
      </c>
      <c r="D477" s="5" t="s">
        <v>910</v>
      </c>
      <c r="E477" s="5" t="s">
        <v>911</v>
      </c>
      <c r="F477" s="5">
        <v>17</v>
      </c>
    </row>
    <row r="478" spans="1:6" x14ac:dyDescent="0.3">
      <c r="A478" s="12">
        <v>46134</v>
      </c>
      <c r="B478" s="2">
        <v>2026</v>
      </c>
      <c r="C478" s="2">
        <v>4</v>
      </c>
      <c r="D478" s="2" t="s">
        <v>910</v>
      </c>
      <c r="E478" s="2" t="s">
        <v>911</v>
      </c>
      <c r="F478" s="2">
        <v>17</v>
      </c>
    </row>
    <row r="479" spans="1:6" x14ac:dyDescent="0.3">
      <c r="A479" s="13">
        <v>46135</v>
      </c>
      <c r="B479" s="5">
        <v>2026</v>
      </c>
      <c r="C479" s="5">
        <v>4</v>
      </c>
      <c r="D479" s="5" t="s">
        <v>910</v>
      </c>
      <c r="E479" s="5" t="s">
        <v>911</v>
      </c>
      <c r="F479" s="5">
        <v>17</v>
      </c>
    </row>
    <row r="480" spans="1:6" x14ac:dyDescent="0.3">
      <c r="A480" s="12">
        <v>46136</v>
      </c>
      <c r="B480" s="2">
        <v>2026</v>
      </c>
      <c r="C480" s="2">
        <v>4</v>
      </c>
      <c r="D480" s="2" t="s">
        <v>910</v>
      </c>
      <c r="E480" s="2" t="s">
        <v>911</v>
      </c>
      <c r="F480" s="2">
        <v>17</v>
      </c>
    </row>
    <row r="481" spans="1:6" x14ac:dyDescent="0.3">
      <c r="A481" s="13">
        <v>46137</v>
      </c>
      <c r="B481" s="5">
        <v>2026</v>
      </c>
      <c r="C481" s="5">
        <v>4</v>
      </c>
      <c r="D481" s="5" t="s">
        <v>910</v>
      </c>
      <c r="E481" s="5" t="s">
        <v>911</v>
      </c>
      <c r="F481" s="5">
        <v>17</v>
      </c>
    </row>
    <row r="482" spans="1:6" x14ac:dyDescent="0.3">
      <c r="A482" s="12">
        <v>46138</v>
      </c>
      <c r="B482" s="2">
        <v>2026</v>
      </c>
      <c r="C482" s="2">
        <v>4</v>
      </c>
      <c r="D482" s="2" t="s">
        <v>910</v>
      </c>
      <c r="E482" s="2" t="s">
        <v>911</v>
      </c>
      <c r="F482" s="2">
        <v>17</v>
      </c>
    </row>
    <row r="483" spans="1:6" x14ac:dyDescent="0.3">
      <c r="A483" s="13">
        <v>46139</v>
      </c>
      <c r="B483" s="5">
        <v>2026</v>
      </c>
      <c r="C483" s="5">
        <v>4</v>
      </c>
      <c r="D483" s="5" t="s">
        <v>910</v>
      </c>
      <c r="E483" s="5" t="s">
        <v>911</v>
      </c>
      <c r="F483" s="5">
        <v>18</v>
      </c>
    </row>
    <row r="484" spans="1:6" x14ac:dyDescent="0.3">
      <c r="A484" s="12">
        <v>46140</v>
      </c>
      <c r="B484" s="2">
        <v>2026</v>
      </c>
      <c r="C484" s="2">
        <v>4</v>
      </c>
      <c r="D484" s="2" t="s">
        <v>910</v>
      </c>
      <c r="E484" s="2" t="s">
        <v>911</v>
      </c>
      <c r="F484" s="2">
        <v>18</v>
      </c>
    </row>
    <row r="485" spans="1:6" x14ac:dyDescent="0.3">
      <c r="A485" s="13">
        <v>46141</v>
      </c>
      <c r="B485" s="5">
        <v>2026</v>
      </c>
      <c r="C485" s="5">
        <v>4</v>
      </c>
      <c r="D485" s="5" t="s">
        <v>910</v>
      </c>
      <c r="E485" s="5" t="s">
        <v>911</v>
      </c>
      <c r="F485" s="5">
        <v>18</v>
      </c>
    </row>
    <row r="486" spans="1:6" x14ac:dyDescent="0.3">
      <c r="A486" s="12">
        <v>46142</v>
      </c>
      <c r="B486" s="2">
        <v>2026</v>
      </c>
      <c r="C486" s="2">
        <v>4</v>
      </c>
      <c r="D486" s="2" t="s">
        <v>910</v>
      </c>
      <c r="E486" s="2" t="s">
        <v>911</v>
      </c>
      <c r="F486" s="2">
        <v>18</v>
      </c>
    </row>
    <row r="487" spans="1:6" x14ac:dyDescent="0.3">
      <c r="A487" s="13">
        <v>46143</v>
      </c>
      <c r="B487" s="5">
        <v>2026</v>
      </c>
      <c r="C487" s="5">
        <v>5</v>
      </c>
      <c r="D487" s="5" t="s">
        <v>912</v>
      </c>
      <c r="E487" s="5" t="s">
        <v>911</v>
      </c>
      <c r="F487" s="5">
        <v>18</v>
      </c>
    </row>
    <row r="488" spans="1:6" x14ac:dyDescent="0.3">
      <c r="A488" s="12">
        <v>46144</v>
      </c>
      <c r="B488" s="2">
        <v>2026</v>
      </c>
      <c r="C488" s="2">
        <v>5</v>
      </c>
      <c r="D488" s="2" t="s">
        <v>912</v>
      </c>
      <c r="E488" s="2" t="s">
        <v>911</v>
      </c>
      <c r="F488" s="2">
        <v>18</v>
      </c>
    </row>
    <row r="489" spans="1:6" x14ac:dyDescent="0.3">
      <c r="A489" s="13">
        <v>46145</v>
      </c>
      <c r="B489" s="5">
        <v>2026</v>
      </c>
      <c r="C489" s="5">
        <v>5</v>
      </c>
      <c r="D489" s="5" t="s">
        <v>912</v>
      </c>
      <c r="E489" s="5" t="s">
        <v>911</v>
      </c>
      <c r="F489" s="5">
        <v>18</v>
      </c>
    </row>
    <row r="490" spans="1:6" x14ac:dyDescent="0.3">
      <c r="A490" s="12">
        <v>46146</v>
      </c>
      <c r="B490" s="2">
        <v>2026</v>
      </c>
      <c r="C490" s="2">
        <v>5</v>
      </c>
      <c r="D490" s="2" t="s">
        <v>912</v>
      </c>
      <c r="E490" s="2" t="s">
        <v>911</v>
      </c>
      <c r="F490" s="2">
        <v>19</v>
      </c>
    </row>
    <row r="491" spans="1:6" x14ac:dyDescent="0.3">
      <c r="A491" s="13">
        <v>46147</v>
      </c>
      <c r="B491" s="5">
        <v>2026</v>
      </c>
      <c r="C491" s="5">
        <v>5</v>
      </c>
      <c r="D491" s="5" t="s">
        <v>912</v>
      </c>
      <c r="E491" s="5" t="s">
        <v>911</v>
      </c>
      <c r="F491" s="5">
        <v>19</v>
      </c>
    </row>
    <row r="492" spans="1:6" x14ac:dyDescent="0.3">
      <c r="A492" s="12">
        <v>46148</v>
      </c>
      <c r="B492" s="2">
        <v>2026</v>
      </c>
      <c r="C492" s="2">
        <v>5</v>
      </c>
      <c r="D492" s="2" t="s">
        <v>912</v>
      </c>
      <c r="E492" s="2" t="s">
        <v>911</v>
      </c>
      <c r="F492" s="2">
        <v>19</v>
      </c>
    </row>
    <row r="493" spans="1:6" x14ac:dyDescent="0.3">
      <c r="A493" s="13">
        <v>46149</v>
      </c>
      <c r="B493" s="5">
        <v>2026</v>
      </c>
      <c r="C493" s="5">
        <v>5</v>
      </c>
      <c r="D493" s="5" t="s">
        <v>912</v>
      </c>
      <c r="E493" s="5" t="s">
        <v>911</v>
      </c>
      <c r="F493" s="5">
        <v>19</v>
      </c>
    </row>
    <row r="494" spans="1:6" x14ac:dyDescent="0.3">
      <c r="A494" s="12">
        <v>46150</v>
      </c>
      <c r="B494" s="2">
        <v>2026</v>
      </c>
      <c r="C494" s="2">
        <v>5</v>
      </c>
      <c r="D494" s="2" t="s">
        <v>912</v>
      </c>
      <c r="E494" s="2" t="s">
        <v>911</v>
      </c>
      <c r="F494" s="2">
        <v>19</v>
      </c>
    </row>
    <row r="495" spans="1:6" x14ac:dyDescent="0.3">
      <c r="A495" s="13">
        <v>46151</v>
      </c>
      <c r="B495" s="5">
        <v>2026</v>
      </c>
      <c r="C495" s="5">
        <v>5</v>
      </c>
      <c r="D495" s="5" t="s">
        <v>912</v>
      </c>
      <c r="E495" s="5" t="s">
        <v>911</v>
      </c>
      <c r="F495" s="5">
        <v>19</v>
      </c>
    </row>
    <row r="496" spans="1:6" x14ac:dyDescent="0.3">
      <c r="A496" s="12">
        <v>46152</v>
      </c>
      <c r="B496" s="2">
        <v>2026</v>
      </c>
      <c r="C496" s="2">
        <v>5</v>
      </c>
      <c r="D496" s="2" t="s">
        <v>912</v>
      </c>
      <c r="E496" s="2" t="s">
        <v>911</v>
      </c>
      <c r="F496" s="2">
        <v>19</v>
      </c>
    </row>
    <row r="497" spans="1:6" x14ac:dyDescent="0.3">
      <c r="A497" s="13">
        <v>46153</v>
      </c>
      <c r="B497" s="5">
        <v>2026</v>
      </c>
      <c r="C497" s="5">
        <v>5</v>
      </c>
      <c r="D497" s="5" t="s">
        <v>912</v>
      </c>
      <c r="E497" s="5" t="s">
        <v>911</v>
      </c>
      <c r="F497" s="5">
        <v>20</v>
      </c>
    </row>
    <row r="498" spans="1:6" x14ac:dyDescent="0.3">
      <c r="A498" s="12">
        <v>46154</v>
      </c>
      <c r="B498" s="2">
        <v>2026</v>
      </c>
      <c r="C498" s="2">
        <v>5</v>
      </c>
      <c r="D498" s="2" t="s">
        <v>912</v>
      </c>
      <c r="E498" s="2" t="s">
        <v>911</v>
      </c>
      <c r="F498" s="2">
        <v>20</v>
      </c>
    </row>
    <row r="499" spans="1:6" x14ac:dyDescent="0.3">
      <c r="A499" s="13">
        <v>46155</v>
      </c>
      <c r="B499" s="5">
        <v>2026</v>
      </c>
      <c r="C499" s="5">
        <v>5</v>
      </c>
      <c r="D499" s="5" t="s">
        <v>912</v>
      </c>
      <c r="E499" s="5" t="s">
        <v>911</v>
      </c>
      <c r="F499" s="5">
        <v>20</v>
      </c>
    </row>
    <row r="500" spans="1:6" x14ac:dyDescent="0.3">
      <c r="A500" s="12">
        <v>46156</v>
      </c>
      <c r="B500" s="2">
        <v>2026</v>
      </c>
      <c r="C500" s="2">
        <v>5</v>
      </c>
      <c r="D500" s="2" t="s">
        <v>912</v>
      </c>
      <c r="E500" s="2" t="s">
        <v>911</v>
      </c>
      <c r="F500" s="2">
        <v>20</v>
      </c>
    </row>
    <row r="501" spans="1:6" x14ac:dyDescent="0.3">
      <c r="A501" s="13">
        <v>46157</v>
      </c>
      <c r="B501" s="5">
        <v>2026</v>
      </c>
      <c r="C501" s="5">
        <v>5</v>
      </c>
      <c r="D501" s="5" t="s">
        <v>912</v>
      </c>
      <c r="E501" s="5" t="s">
        <v>911</v>
      </c>
      <c r="F501" s="5">
        <v>20</v>
      </c>
    </row>
    <row r="502" spans="1:6" x14ac:dyDescent="0.3">
      <c r="A502" s="12">
        <v>46158</v>
      </c>
      <c r="B502" s="2">
        <v>2026</v>
      </c>
      <c r="C502" s="2">
        <v>5</v>
      </c>
      <c r="D502" s="2" t="s">
        <v>912</v>
      </c>
      <c r="E502" s="2" t="s">
        <v>911</v>
      </c>
      <c r="F502" s="2">
        <v>20</v>
      </c>
    </row>
    <row r="503" spans="1:6" x14ac:dyDescent="0.3">
      <c r="A503" s="13">
        <v>46159</v>
      </c>
      <c r="B503" s="5">
        <v>2026</v>
      </c>
      <c r="C503" s="5">
        <v>5</v>
      </c>
      <c r="D503" s="5" t="s">
        <v>912</v>
      </c>
      <c r="E503" s="5" t="s">
        <v>911</v>
      </c>
      <c r="F503" s="5">
        <v>20</v>
      </c>
    </row>
    <row r="504" spans="1:6" x14ac:dyDescent="0.3">
      <c r="A504" s="12">
        <v>46160</v>
      </c>
      <c r="B504" s="2">
        <v>2026</v>
      </c>
      <c r="C504" s="2">
        <v>5</v>
      </c>
      <c r="D504" s="2" t="s">
        <v>912</v>
      </c>
      <c r="E504" s="2" t="s">
        <v>911</v>
      </c>
      <c r="F504" s="2">
        <v>21</v>
      </c>
    </row>
    <row r="505" spans="1:6" x14ac:dyDescent="0.3">
      <c r="A505" s="13">
        <v>46161</v>
      </c>
      <c r="B505" s="5">
        <v>2026</v>
      </c>
      <c r="C505" s="5">
        <v>5</v>
      </c>
      <c r="D505" s="5" t="s">
        <v>912</v>
      </c>
      <c r="E505" s="5" t="s">
        <v>911</v>
      </c>
      <c r="F505" s="5">
        <v>21</v>
      </c>
    </row>
    <row r="506" spans="1:6" x14ac:dyDescent="0.3">
      <c r="A506" s="12">
        <v>46162</v>
      </c>
      <c r="B506" s="2">
        <v>2026</v>
      </c>
      <c r="C506" s="2">
        <v>5</v>
      </c>
      <c r="D506" s="2" t="s">
        <v>912</v>
      </c>
      <c r="E506" s="2" t="s">
        <v>911</v>
      </c>
      <c r="F506" s="2">
        <v>21</v>
      </c>
    </row>
    <row r="507" spans="1:6" x14ac:dyDescent="0.3">
      <c r="A507" s="13">
        <v>46163</v>
      </c>
      <c r="B507" s="5">
        <v>2026</v>
      </c>
      <c r="C507" s="5">
        <v>5</v>
      </c>
      <c r="D507" s="5" t="s">
        <v>912</v>
      </c>
      <c r="E507" s="5" t="s">
        <v>911</v>
      </c>
      <c r="F507" s="5">
        <v>21</v>
      </c>
    </row>
    <row r="508" spans="1:6" x14ac:dyDescent="0.3">
      <c r="A508" s="12">
        <v>46164</v>
      </c>
      <c r="B508" s="2">
        <v>2026</v>
      </c>
      <c r="C508" s="2">
        <v>5</v>
      </c>
      <c r="D508" s="2" t="s">
        <v>912</v>
      </c>
      <c r="E508" s="2" t="s">
        <v>911</v>
      </c>
      <c r="F508" s="2">
        <v>21</v>
      </c>
    </row>
    <row r="509" spans="1:6" x14ac:dyDescent="0.3">
      <c r="A509" s="13">
        <v>46165</v>
      </c>
      <c r="B509" s="5">
        <v>2026</v>
      </c>
      <c r="C509" s="5">
        <v>5</v>
      </c>
      <c r="D509" s="5" t="s">
        <v>912</v>
      </c>
      <c r="E509" s="5" t="s">
        <v>911</v>
      </c>
      <c r="F509" s="5">
        <v>21</v>
      </c>
    </row>
    <row r="510" spans="1:6" x14ac:dyDescent="0.3">
      <c r="A510" s="12">
        <v>46166</v>
      </c>
      <c r="B510" s="2">
        <v>2026</v>
      </c>
      <c r="C510" s="2">
        <v>5</v>
      </c>
      <c r="D510" s="2" t="s">
        <v>912</v>
      </c>
      <c r="E510" s="2" t="s">
        <v>911</v>
      </c>
      <c r="F510" s="2">
        <v>21</v>
      </c>
    </row>
    <row r="511" spans="1:6" x14ac:dyDescent="0.3">
      <c r="A511" s="13">
        <v>46167</v>
      </c>
      <c r="B511" s="5">
        <v>2026</v>
      </c>
      <c r="C511" s="5">
        <v>5</v>
      </c>
      <c r="D511" s="5" t="s">
        <v>912</v>
      </c>
      <c r="E511" s="5" t="s">
        <v>911</v>
      </c>
      <c r="F511" s="5">
        <v>22</v>
      </c>
    </row>
    <row r="512" spans="1:6" x14ac:dyDescent="0.3">
      <c r="A512" s="12">
        <v>46168</v>
      </c>
      <c r="B512" s="2">
        <v>2026</v>
      </c>
      <c r="C512" s="2">
        <v>5</v>
      </c>
      <c r="D512" s="2" t="s">
        <v>912</v>
      </c>
      <c r="E512" s="2" t="s">
        <v>911</v>
      </c>
      <c r="F512" s="2">
        <v>22</v>
      </c>
    </row>
    <row r="513" spans="1:6" x14ac:dyDescent="0.3">
      <c r="A513" s="13">
        <v>46169</v>
      </c>
      <c r="B513" s="5">
        <v>2026</v>
      </c>
      <c r="C513" s="5">
        <v>5</v>
      </c>
      <c r="D513" s="5" t="s">
        <v>912</v>
      </c>
      <c r="E513" s="5" t="s">
        <v>911</v>
      </c>
      <c r="F513" s="5">
        <v>22</v>
      </c>
    </row>
    <row r="514" spans="1:6" x14ac:dyDescent="0.3">
      <c r="A514" s="12">
        <v>46170</v>
      </c>
      <c r="B514" s="2">
        <v>2026</v>
      </c>
      <c r="C514" s="2">
        <v>5</v>
      </c>
      <c r="D514" s="2" t="s">
        <v>912</v>
      </c>
      <c r="E514" s="2" t="s">
        <v>911</v>
      </c>
      <c r="F514" s="2">
        <v>22</v>
      </c>
    </row>
    <row r="515" spans="1:6" x14ac:dyDescent="0.3">
      <c r="A515" s="13">
        <v>46171</v>
      </c>
      <c r="B515" s="5">
        <v>2026</v>
      </c>
      <c r="C515" s="5">
        <v>5</v>
      </c>
      <c r="D515" s="5" t="s">
        <v>912</v>
      </c>
      <c r="E515" s="5" t="s">
        <v>911</v>
      </c>
      <c r="F515" s="5">
        <v>22</v>
      </c>
    </row>
    <row r="516" spans="1:6" x14ac:dyDescent="0.3">
      <c r="A516" s="12">
        <v>46172</v>
      </c>
      <c r="B516" s="2">
        <v>2026</v>
      </c>
      <c r="C516" s="2">
        <v>5</v>
      </c>
      <c r="D516" s="2" t="s">
        <v>912</v>
      </c>
      <c r="E516" s="2" t="s">
        <v>911</v>
      </c>
      <c r="F516" s="2">
        <v>22</v>
      </c>
    </row>
    <row r="517" spans="1:6" x14ac:dyDescent="0.3">
      <c r="A517" s="13">
        <v>46173</v>
      </c>
      <c r="B517" s="5">
        <v>2026</v>
      </c>
      <c r="C517" s="5">
        <v>5</v>
      </c>
      <c r="D517" s="5" t="s">
        <v>912</v>
      </c>
      <c r="E517" s="5" t="s">
        <v>911</v>
      </c>
      <c r="F517" s="5">
        <v>22</v>
      </c>
    </row>
    <row r="518" spans="1:6" x14ac:dyDescent="0.3">
      <c r="A518" s="12">
        <v>46174</v>
      </c>
      <c r="B518" s="2">
        <v>2026</v>
      </c>
      <c r="C518" s="2">
        <v>6</v>
      </c>
      <c r="D518" s="2" t="s">
        <v>913</v>
      </c>
      <c r="E518" s="2" t="s">
        <v>911</v>
      </c>
      <c r="F518" s="2">
        <v>23</v>
      </c>
    </row>
    <row r="519" spans="1:6" x14ac:dyDescent="0.3">
      <c r="A519" s="13">
        <v>46175</v>
      </c>
      <c r="B519" s="5">
        <v>2026</v>
      </c>
      <c r="C519" s="5">
        <v>6</v>
      </c>
      <c r="D519" s="5" t="s">
        <v>913</v>
      </c>
      <c r="E519" s="5" t="s">
        <v>911</v>
      </c>
      <c r="F519" s="5">
        <v>23</v>
      </c>
    </row>
    <row r="520" spans="1:6" x14ac:dyDescent="0.3">
      <c r="A520" s="12">
        <v>46176</v>
      </c>
      <c r="B520" s="2">
        <v>2026</v>
      </c>
      <c r="C520" s="2">
        <v>6</v>
      </c>
      <c r="D520" s="2" t="s">
        <v>913</v>
      </c>
      <c r="E520" s="2" t="s">
        <v>911</v>
      </c>
      <c r="F520" s="2">
        <v>23</v>
      </c>
    </row>
    <row r="521" spans="1:6" x14ac:dyDescent="0.3">
      <c r="A521" s="13">
        <v>46177</v>
      </c>
      <c r="B521" s="5">
        <v>2026</v>
      </c>
      <c r="C521" s="5">
        <v>6</v>
      </c>
      <c r="D521" s="5" t="s">
        <v>913</v>
      </c>
      <c r="E521" s="5" t="s">
        <v>911</v>
      </c>
      <c r="F521" s="5">
        <v>23</v>
      </c>
    </row>
    <row r="522" spans="1:6" x14ac:dyDescent="0.3">
      <c r="A522" s="12">
        <v>46178</v>
      </c>
      <c r="B522" s="2">
        <v>2026</v>
      </c>
      <c r="C522" s="2">
        <v>6</v>
      </c>
      <c r="D522" s="2" t="s">
        <v>913</v>
      </c>
      <c r="E522" s="2" t="s">
        <v>911</v>
      </c>
      <c r="F522" s="2">
        <v>23</v>
      </c>
    </row>
    <row r="523" spans="1:6" x14ac:dyDescent="0.3">
      <c r="A523" s="13">
        <v>46179</v>
      </c>
      <c r="B523" s="5">
        <v>2026</v>
      </c>
      <c r="C523" s="5">
        <v>6</v>
      </c>
      <c r="D523" s="5" t="s">
        <v>913</v>
      </c>
      <c r="E523" s="5" t="s">
        <v>911</v>
      </c>
      <c r="F523" s="5">
        <v>23</v>
      </c>
    </row>
    <row r="524" spans="1:6" x14ac:dyDescent="0.3">
      <c r="A524" s="12">
        <v>46180</v>
      </c>
      <c r="B524" s="2">
        <v>2026</v>
      </c>
      <c r="C524" s="2">
        <v>6</v>
      </c>
      <c r="D524" s="2" t="s">
        <v>913</v>
      </c>
      <c r="E524" s="2" t="s">
        <v>911</v>
      </c>
      <c r="F524" s="2">
        <v>23</v>
      </c>
    </row>
    <row r="525" spans="1:6" x14ac:dyDescent="0.3">
      <c r="A525" s="13">
        <v>46181</v>
      </c>
      <c r="B525" s="5">
        <v>2026</v>
      </c>
      <c r="C525" s="5">
        <v>6</v>
      </c>
      <c r="D525" s="5" t="s">
        <v>913</v>
      </c>
      <c r="E525" s="5" t="s">
        <v>911</v>
      </c>
      <c r="F525" s="5">
        <v>24</v>
      </c>
    </row>
    <row r="526" spans="1:6" x14ac:dyDescent="0.3">
      <c r="A526" s="12">
        <v>46182</v>
      </c>
      <c r="B526" s="2">
        <v>2026</v>
      </c>
      <c r="C526" s="2">
        <v>6</v>
      </c>
      <c r="D526" s="2" t="s">
        <v>913</v>
      </c>
      <c r="E526" s="2" t="s">
        <v>911</v>
      </c>
      <c r="F526" s="2">
        <v>24</v>
      </c>
    </row>
    <row r="527" spans="1:6" x14ac:dyDescent="0.3">
      <c r="A527" s="13">
        <v>46183</v>
      </c>
      <c r="B527" s="5">
        <v>2026</v>
      </c>
      <c r="C527" s="5">
        <v>6</v>
      </c>
      <c r="D527" s="5" t="s">
        <v>913</v>
      </c>
      <c r="E527" s="5" t="s">
        <v>911</v>
      </c>
      <c r="F527" s="5">
        <v>24</v>
      </c>
    </row>
    <row r="528" spans="1:6" x14ac:dyDescent="0.3">
      <c r="A528" s="12">
        <v>46184</v>
      </c>
      <c r="B528" s="2">
        <v>2026</v>
      </c>
      <c r="C528" s="2">
        <v>6</v>
      </c>
      <c r="D528" s="2" t="s">
        <v>913</v>
      </c>
      <c r="E528" s="2" t="s">
        <v>911</v>
      </c>
      <c r="F528" s="2">
        <v>24</v>
      </c>
    </row>
    <row r="529" spans="1:6" x14ac:dyDescent="0.3">
      <c r="A529" s="13">
        <v>46185</v>
      </c>
      <c r="B529" s="5">
        <v>2026</v>
      </c>
      <c r="C529" s="5">
        <v>6</v>
      </c>
      <c r="D529" s="5" t="s">
        <v>913</v>
      </c>
      <c r="E529" s="5" t="s">
        <v>911</v>
      </c>
      <c r="F529" s="5">
        <v>24</v>
      </c>
    </row>
    <row r="530" spans="1:6" x14ac:dyDescent="0.3">
      <c r="A530" s="12">
        <v>46186</v>
      </c>
      <c r="B530" s="2">
        <v>2026</v>
      </c>
      <c r="C530" s="2">
        <v>6</v>
      </c>
      <c r="D530" s="2" t="s">
        <v>913</v>
      </c>
      <c r="E530" s="2" t="s">
        <v>911</v>
      </c>
      <c r="F530" s="2">
        <v>24</v>
      </c>
    </row>
    <row r="531" spans="1:6" x14ac:dyDescent="0.3">
      <c r="A531" s="13">
        <v>46187</v>
      </c>
      <c r="B531" s="5">
        <v>2026</v>
      </c>
      <c r="C531" s="5">
        <v>6</v>
      </c>
      <c r="D531" s="5" t="s">
        <v>913</v>
      </c>
      <c r="E531" s="5" t="s">
        <v>911</v>
      </c>
      <c r="F531" s="5">
        <v>24</v>
      </c>
    </row>
    <row r="532" spans="1:6" x14ac:dyDescent="0.3">
      <c r="A532" s="12">
        <v>46188</v>
      </c>
      <c r="B532" s="2">
        <v>2026</v>
      </c>
      <c r="C532" s="2">
        <v>6</v>
      </c>
      <c r="D532" s="2" t="s">
        <v>913</v>
      </c>
      <c r="E532" s="2" t="s">
        <v>911</v>
      </c>
      <c r="F532" s="2">
        <v>25</v>
      </c>
    </row>
    <row r="533" spans="1:6" x14ac:dyDescent="0.3">
      <c r="A533" s="13">
        <v>46189</v>
      </c>
      <c r="B533" s="5">
        <v>2026</v>
      </c>
      <c r="C533" s="5">
        <v>6</v>
      </c>
      <c r="D533" s="5" t="s">
        <v>913</v>
      </c>
      <c r="E533" s="5" t="s">
        <v>911</v>
      </c>
      <c r="F533" s="5">
        <v>25</v>
      </c>
    </row>
    <row r="534" spans="1:6" x14ac:dyDescent="0.3">
      <c r="A534" s="12">
        <v>46190</v>
      </c>
      <c r="B534" s="2">
        <v>2026</v>
      </c>
      <c r="C534" s="2">
        <v>6</v>
      </c>
      <c r="D534" s="2" t="s">
        <v>913</v>
      </c>
      <c r="E534" s="2" t="s">
        <v>911</v>
      </c>
      <c r="F534" s="2">
        <v>25</v>
      </c>
    </row>
    <row r="535" spans="1:6" x14ac:dyDescent="0.3">
      <c r="A535" s="13">
        <v>46191</v>
      </c>
      <c r="B535" s="5">
        <v>2026</v>
      </c>
      <c r="C535" s="5">
        <v>6</v>
      </c>
      <c r="D535" s="5" t="s">
        <v>913</v>
      </c>
      <c r="E535" s="5" t="s">
        <v>911</v>
      </c>
      <c r="F535" s="5">
        <v>25</v>
      </c>
    </row>
    <row r="536" spans="1:6" x14ac:dyDescent="0.3">
      <c r="A536" s="12">
        <v>46192</v>
      </c>
      <c r="B536" s="2">
        <v>2026</v>
      </c>
      <c r="C536" s="2">
        <v>6</v>
      </c>
      <c r="D536" s="2" t="s">
        <v>913</v>
      </c>
      <c r="E536" s="2" t="s">
        <v>911</v>
      </c>
      <c r="F536" s="2">
        <v>25</v>
      </c>
    </row>
    <row r="537" spans="1:6" x14ac:dyDescent="0.3">
      <c r="A537" s="13">
        <v>46193</v>
      </c>
      <c r="B537" s="5">
        <v>2026</v>
      </c>
      <c r="C537" s="5">
        <v>6</v>
      </c>
      <c r="D537" s="5" t="s">
        <v>913</v>
      </c>
      <c r="E537" s="5" t="s">
        <v>911</v>
      </c>
      <c r="F537" s="5">
        <v>25</v>
      </c>
    </row>
    <row r="538" spans="1:6" x14ac:dyDescent="0.3">
      <c r="A538" s="12">
        <v>46194</v>
      </c>
      <c r="B538" s="2">
        <v>2026</v>
      </c>
      <c r="C538" s="2">
        <v>6</v>
      </c>
      <c r="D538" s="2" t="s">
        <v>913</v>
      </c>
      <c r="E538" s="2" t="s">
        <v>911</v>
      </c>
      <c r="F538" s="2">
        <v>25</v>
      </c>
    </row>
    <row r="539" spans="1:6" x14ac:dyDescent="0.3">
      <c r="A539" s="13">
        <v>46195</v>
      </c>
      <c r="B539" s="5">
        <v>2026</v>
      </c>
      <c r="C539" s="5">
        <v>6</v>
      </c>
      <c r="D539" s="5" t="s">
        <v>913</v>
      </c>
      <c r="E539" s="5" t="s">
        <v>911</v>
      </c>
      <c r="F539" s="5">
        <v>26</v>
      </c>
    </row>
    <row r="540" spans="1:6" x14ac:dyDescent="0.3">
      <c r="A540" s="12">
        <v>46196</v>
      </c>
      <c r="B540" s="2">
        <v>2026</v>
      </c>
      <c r="C540" s="2">
        <v>6</v>
      </c>
      <c r="D540" s="2" t="s">
        <v>913</v>
      </c>
      <c r="E540" s="2" t="s">
        <v>911</v>
      </c>
      <c r="F540" s="2">
        <v>26</v>
      </c>
    </row>
    <row r="541" spans="1:6" x14ac:dyDescent="0.3">
      <c r="A541" s="13">
        <v>46197</v>
      </c>
      <c r="B541" s="5">
        <v>2026</v>
      </c>
      <c r="C541" s="5">
        <v>6</v>
      </c>
      <c r="D541" s="5" t="s">
        <v>913</v>
      </c>
      <c r="E541" s="5" t="s">
        <v>911</v>
      </c>
      <c r="F541" s="5">
        <v>26</v>
      </c>
    </row>
    <row r="542" spans="1:6" x14ac:dyDescent="0.3">
      <c r="A542" s="12">
        <v>46198</v>
      </c>
      <c r="B542" s="2">
        <v>2026</v>
      </c>
      <c r="C542" s="2">
        <v>6</v>
      </c>
      <c r="D542" s="2" t="s">
        <v>913</v>
      </c>
      <c r="E542" s="2" t="s">
        <v>911</v>
      </c>
      <c r="F542" s="2">
        <v>26</v>
      </c>
    </row>
    <row r="543" spans="1:6" x14ac:dyDescent="0.3">
      <c r="A543" s="13">
        <v>46199</v>
      </c>
      <c r="B543" s="5">
        <v>2026</v>
      </c>
      <c r="C543" s="5">
        <v>6</v>
      </c>
      <c r="D543" s="5" t="s">
        <v>913</v>
      </c>
      <c r="E543" s="5" t="s">
        <v>911</v>
      </c>
      <c r="F543" s="5">
        <v>26</v>
      </c>
    </row>
    <row r="544" spans="1:6" x14ac:dyDescent="0.3">
      <c r="A544" s="12">
        <v>46200</v>
      </c>
      <c r="B544" s="2">
        <v>2026</v>
      </c>
      <c r="C544" s="2">
        <v>6</v>
      </c>
      <c r="D544" s="2" t="s">
        <v>913</v>
      </c>
      <c r="E544" s="2" t="s">
        <v>911</v>
      </c>
      <c r="F544" s="2">
        <v>26</v>
      </c>
    </row>
    <row r="545" spans="1:6" x14ac:dyDescent="0.3">
      <c r="A545" s="13">
        <v>46201</v>
      </c>
      <c r="B545" s="5">
        <v>2026</v>
      </c>
      <c r="C545" s="5">
        <v>6</v>
      </c>
      <c r="D545" s="5" t="s">
        <v>913</v>
      </c>
      <c r="E545" s="5" t="s">
        <v>911</v>
      </c>
      <c r="F545" s="5">
        <v>26</v>
      </c>
    </row>
    <row r="546" spans="1:6" x14ac:dyDescent="0.3">
      <c r="A546" s="12">
        <v>46202</v>
      </c>
      <c r="B546" s="2">
        <v>2026</v>
      </c>
      <c r="C546" s="2">
        <v>6</v>
      </c>
      <c r="D546" s="2" t="s">
        <v>913</v>
      </c>
      <c r="E546" s="2" t="s">
        <v>911</v>
      </c>
      <c r="F546" s="2">
        <v>27</v>
      </c>
    </row>
    <row r="547" spans="1:6" x14ac:dyDescent="0.3">
      <c r="A547" s="13">
        <v>46203</v>
      </c>
      <c r="B547" s="5">
        <v>2026</v>
      </c>
      <c r="C547" s="5">
        <v>6</v>
      </c>
      <c r="D547" s="5" t="s">
        <v>913</v>
      </c>
      <c r="E547" s="5" t="s">
        <v>911</v>
      </c>
      <c r="F547" s="5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Order Details</vt:lpstr>
      <vt:lpstr>Products</vt:lpstr>
      <vt:lpstr>Customers</vt:lpstr>
      <vt:lpstr>Categories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Martina Hrehová</cp:lastModifiedBy>
  <cp:revision>0</cp:revision>
  <dcterms:created xsi:type="dcterms:W3CDTF">2026-07-06T14:29:09Z</dcterms:created>
  <dcterms:modified xsi:type="dcterms:W3CDTF">2026-07-06T21:10:28Z</dcterms:modified>
  <dc:language>en-US</dc:language>
</cp:coreProperties>
</file>